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Guia" sheetId="2" state="visible" r:id="rId2"/>
    <sheet name="Dashboard" sheetId="3" state="visible" r:id="rId3"/>
    <sheet name="Página Inicial" sheetId="4" state="visible" r:id="rId4"/>
    <sheet name="Seleções" sheetId="5" state="visible" r:id="rId5"/>
    <sheet name="Museu FIFA" sheetId="6" state="visible" r:id="rId6"/>
    <sheet name="Coca-Cola" sheetId="7" state="visible" r:id="rId7"/>
    <sheet name="Extras" sheetId="8" state="visible" r:id="rId8"/>
    <sheet name="Siglas" sheetId="9" state="visible" r:id="rId9"/>
    <sheet name="Grupos" sheetId="10" state="visible" r:id="rId10"/>
    <sheet name="Todas (980)" sheetId="11" state="visible" r:id="rId11"/>
    <sheet name="Por seleção" sheetId="12" state="visible" r:id="rId12"/>
    <sheet name="Pacotes" sheetId="13" state="visible" r:id="rId13"/>
    <sheet name="Estatísticas" sheetId="14" state="visible" r:id="rId14"/>
  </sheets>
  <definedNames>
    <definedName name="_xlnm._FilterDatabase" localSheetId="8" hidden="1">'Siglas'!$A$1:$E$49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dd dd/mm/yyyy"/>
  </numFmts>
  <fonts count="20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94A3B8"/>
    </font>
    <font>
      <b val="1"/>
      <color rgb="00713F12"/>
      <sz val="13"/>
    </font>
    <font>
      <b val="1"/>
      <color rgb="00FEFCE8"/>
      <sz val="30"/>
    </font>
    <font>
      <color rgb="0094A3B8"/>
      <sz val="11"/>
    </font>
    <font>
      <color rgb="00FEFCE8"/>
      <sz val="10"/>
    </font>
    <font>
      <b val="1"/>
      <color rgb="00FEFCE8"/>
      <sz val="15"/>
    </font>
    <font>
      <b val="1"/>
      <color rgb="00FEFCE8"/>
    </font>
    <font>
      <color rgb="0034D399"/>
      <u val="single"/>
    </font>
    <font>
      <name val="Calibri"/>
      <b val="1"/>
      <color rgb="00FFFFFF"/>
      <sz val="11"/>
    </font>
    <font>
      <b val="1"/>
      <color rgb="000F2744"/>
      <sz val="15"/>
    </font>
    <font>
      <b val="1"/>
    </font>
    <font>
      <b val="1"/>
      <sz val="11"/>
    </font>
    <font>
      <b val="1"/>
      <color rgb="00FEFCE8"/>
      <sz val="26"/>
    </font>
    <font>
      <color rgb="0094A3B8"/>
      <sz val="10"/>
    </font>
    <font>
      <b val="1"/>
      <color rgb="00FEFCE8"/>
      <sz val="16"/>
    </font>
    <font>
      <b val="1"/>
      <color rgb="0034D399"/>
      <sz val="26"/>
    </font>
    <font>
      <b val="1"/>
      <color rgb="00FEFCE8"/>
      <sz val="13"/>
    </font>
  </fonts>
  <fills count="11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FFFBEB"/>
      </patternFill>
    </fill>
    <fill>
      <patternFill patternType="solid">
        <fgColor rgb="00D4A012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F2744"/>
      </patternFill>
    </fill>
    <fill>
      <patternFill patternType="solid">
        <fgColor rgb="00E8EEF7"/>
      </patternFill>
    </fill>
    <fill>
      <patternFill patternType="solid">
        <fgColor rgb="00D6E4FF"/>
      </patternFill>
    </fill>
    <fill>
      <patternFill patternType="solid">
        <fgColor rgb="00151F32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ck">
        <color rgb="00CA8A04"/>
      </bottom>
    </border>
    <border>
      <left style="thick">
        <color rgb="00CA8A04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6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top" wrapText="1"/>
    </xf>
    <xf numFmtId="0" fontId="8" fillId="5" borderId="0" pivotButton="0" quotePrefix="0" xfId="0"/>
    <xf numFmtId="0" fontId="9" fillId="6" borderId="0" pivotButton="0" quotePrefix="0" xfId="0"/>
    <xf numFmtId="0" fontId="3" fillId="5" borderId="0" pivotButton="0" quotePrefix="0" xfId="0"/>
    <xf numFmtId="0" fontId="10" fillId="5" borderId="0" pivotButton="0" quotePrefix="0" xfId="0"/>
    <xf numFmtId="0" fontId="9" fillId="5" borderId="0" pivotButton="0" quotePrefix="0" xfId="0"/>
    <xf numFmtId="0" fontId="15" fillId="5" borderId="0" pivotButton="0" quotePrefix="0" xfId="0"/>
    <xf numFmtId="0" fontId="16" fillId="5" borderId="0" pivotButton="0" quotePrefix="0" xfId="0"/>
    <xf numFmtId="0" fontId="0" fillId="10" borderId="0" pivotButton="0" quotePrefix="0" xfId="0"/>
    <xf numFmtId="0" fontId="16" fillId="10" borderId="2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/>
    </xf>
    <xf numFmtId="164" fontId="18" fillId="10" borderId="0" applyAlignment="1" pivotButton="0" quotePrefix="0" xfId="0">
      <alignment horizontal="center" vertical="center"/>
    </xf>
    <xf numFmtId="165" fontId="19" fillId="10" borderId="0" applyAlignment="1" pivotButton="0" quotePrefix="0" xfId="0">
      <alignment horizontal="center" vertical="center"/>
    </xf>
    <xf numFmtId="0" fontId="16" fillId="10" borderId="0" pivotButton="0" quotePrefix="0" xfId="0"/>
    <xf numFmtId="0" fontId="11" fillId="7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12" fillId="0" borderId="0" pivotButton="0" quotePrefix="0" xfId="0"/>
    <xf numFmtId="0" fontId="13" fillId="8" borderId="0" pivotButton="0" quotePrefix="0" xfId="0"/>
    <xf numFmtId="164" fontId="0" fillId="0" borderId="0" pivotButton="0" quotePrefix="0" xfId="0"/>
    <xf numFmtId="0" fontId="13" fillId="0" borderId="0" pivotButton="0" quotePrefix="0" xfId="0"/>
    <xf numFmtId="10" fontId="0" fillId="0" borderId="0" pivotButton="0" quotePrefix="0" xfId="0"/>
    <xf numFmtId="0" fontId="14" fillId="0" borderId="0" pivotButton="0" quotePrefix="0" xfId="0"/>
    <xf numFmtId="0" fontId="13" fillId="9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WC 2026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'Dashboard'!$U$40:$U$41</f>
            </numRef>
          </cat>
          <val>
            <numRef>
              <f>'Dashboard'!$V$40:$V$41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Sections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'Estatísticas'!$A$4:$A$6</f>
            </numRef>
          </cat>
          <val>
            <numRef>
              <f>'Estatísticas'!$C$4:$C$6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% group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'Estatísticas'!$A$22:$A$33</f>
            </numRef>
          </cat>
          <val>
            <numRef>
              <f>'Estatísticas'!$D$22:$D$33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aginaInicial" displayName="tblPaginaInicial" ref="A1:F10" headerRowCount="1">
  <autoFilter ref="A1:F10"/>
  <tableColumns count="6">
    <tableColumn id="1" name="Idx"/>
    <tableColumn id="2" name="Code"/>
    <tableColumn id="3" name="Sticker"/>
    <tableColumn id="4" name="Type"/>
    <tableColumn id="5" name="Status"/>
    <tableColumn id="6" name="D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Selecoes" displayName="tblSelecoes" ref="A1:I961" headerRowCount="1">
  <autoFilter ref="A1:I961"/>
  <tableColumns count="9">
    <tableColumn id="1" name="Group"/>
    <tableColumn id="2" name="Abbr"/>
    <tableColumn id="3" name="Nation"/>
    <tableColumn id="4" name="Idx"/>
    <tableColumn id="5" name="Code"/>
    <tableColumn id="6" name="Sticker"/>
    <tableColumn id="7" name="Type"/>
    <tableColumn id="8" name="Status"/>
    <tableColumn id="9" name="Du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useu" displayName="tblMuseu" ref="A1:F12" headerRowCount="1">
  <autoFilter ref="A1:F12"/>
  <tableColumns count="6">
    <tableColumn id="1" name="Idx"/>
    <tableColumn id="2" name="Code"/>
    <tableColumn id="3" name="Sticker"/>
    <tableColumn id="4" name="Type"/>
    <tableColumn id="5" name="Status"/>
    <tableColumn id="6" name="Du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CocaCola" displayName="tblCocaCola" ref="A1:F13" headerRowCount="1">
  <autoFilter ref="A1:F13"/>
  <tableColumns count="6">
    <tableColumn id="1" name="Promo"/>
    <tableColumn id="2" name="Player"/>
    <tableColumn id="3" name="Nation"/>
    <tableColumn id="4" name="Source"/>
    <tableColumn id="5" name="Status"/>
    <tableColumn id="6" name="D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Extras" displayName="tblExtras" ref="A1:F21" headerRowCount="1">
  <autoFilter ref="A1:F21"/>
  <tableColumns count="6">
    <tableColumn id="1" name="Idx"/>
    <tableColumn id="2" name="Player"/>
    <tableColumn id="3" name="Nation"/>
    <tableColumn id="4" name="Notes"/>
    <tableColumn id="5" name="Status"/>
    <tableColumn id="6" name="Dup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Todas980" displayName="tblTodas980" ref="A1:I981" headerRowCount="1">
  <autoFilter ref="A1:I981"/>
  <tableColumns count="9">
    <tableColumn id="1" name="Section"/>
    <tableColumn id="2" name="Group"/>
    <tableColumn id="3" name="Abbr"/>
    <tableColumn id="4" name="Nation"/>
    <tableColumn id="5" name="Code"/>
    <tableColumn id="6" name="Sticker"/>
    <tableColumn id="7" name="Type"/>
    <tableColumn id="8" name="Status"/>
    <tableColumn id="9" name="Dup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PorSelecao" displayName="tblPorSelecao" ref="A1:I49" headerRowCount="1">
  <autoFilter ref="A1:I49"/>
  <tableColumns count="9">
    <tableColumn id="1" name="Idx"/>
    <tableColumn id="2" name="Nation"/>
    <tableColumn id="3" name="Abbr"/>
    <tableColumn id="4" name="Group"/>
    <tableColumn id="5" name="Goal"/>
    <tableColumn id="6" name="Got"/>
    <tableColumn id="7" name="Pct"/>
    <tableColumn id="8" name="Prog"/>
    <tableColumn id="9" name="Lef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Pacotes" displayName="tblPacotes" ref="A1:D41" headerRowCount="1">
  <autoFilter ref="A1:D41"/>
  <tableColumns count="4">
    <tableColumn id="1" name="Date"/>
    <tableColumn id="2" name="PacksOpen"/>
    <tableColumn id="3" name="NewEst"/>
    <tableColumn id="4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PorGrupo" displayName="tblPorGrupo" ref="A21:G33" headerRowCount="1">
  <autoFilter ref="A21:G33"/>
  <tableColumns count="7">
    <tableColumn id="1" name="Group"/>
    <tableColumn id="2" name="Goal"/>
    <tableColumn id="3" name="Got"/>
    <tableColumn id="4" name="Pct"/>
    <tableColumn id="5" name="Missing"/>
    <tableColumn id="6" name="Bar"/>
    <tableColumn id="7" name="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G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4" customWidth="1" min="3" max="3"/>
    <col width="20" customWidth="1" min="4" max="4"/>
    <col width="16" customWidth="1" min="6" max="6"/>
    <col width="6" customWidth="1" min="7" max="7"/>
  </cols>
  <sheetData>
    <row r="1" ht="22" customHeight="1">
      <c r="A1" s="1" t="inlineStr">
        <is>
          <t>Idioma / Language</t>
        </is>
      </c>
      <c r="C1">
        <f>CHOOSE(MATCH(Config!$B$2,{"PT";"EN"},0),"Textos da lista «Status» (mudam com B2)","«Status» dropdown labels (follow B2)")</f>
        <v/>
      </c>
      <c r="D1">
        <f>IF(Config!$B$2="PT","Sim","Yes")</f>
        <v/>
      </c>
      <c r="F1" s="2">
        <f>CHOOSE(MATCH(Config!$B$2,{"PT";"EN"},0),"Valores para B2","Values for B2")</f>
        <v/>
      </c>
      <c r="G1" t="inlineStr">
        <is>
          <t>PT</t>
        </is>
      </c>
    </row>
    <row r="2">
      <c r="A2" s="3">
        <f>CHOOSE(MATCH(Config!$B$2,{"PT";"EN"},0),"Interface (atalhos, ajuda, rótulos dinâmicos)","Interface (help, shortcuts, dynamic labels)")</f>
        <v/>
      </c>
      <c r="B2" t="inlineStr">
        <is>
          <t>PT</t>
        </is>
      </c>
      <c r="D2">
        <f>IF(Config!$B$2="PT","Não","No")</f>
        <v/>
      </c>
      <c r="G2" t="inlineStr">
        <is>
          <t>EN</t>
        </is>
      </c>
    </row>
    <row r="3">
      <c r="D3">
        <f>IF(Config!$B$2="PT","Falta trocar","Need swap")</f>
        <v/>
      </c>
    </row>
    <row r="4">
      <c r="C4" s="4">
        <f>CHOOSE(MATCH(Config!$B$2,{"PT";"EN"},0),"Estas células alimentam as listas pendentes da coluna Status nas folhas de cromos.","These cells feed the Status dropdown lists on sticker sheets.")</f>
        <v/>
      </c>
    </row>
    <row r="5"/>
    <row r="7" ht="22" customHeight="1">
      <c r="A7" s="5">
        <f>CHOOSE(MATCH(Config!$B$2,{"PT";"EN"},0),"▼ ONDE PREENCHER","▼ WHERE TO ENTER DATA")</f>
        <v/>
      </c>
    </row>
    <row r="8" ht="36" customHeight="1">
      <c r="A8" s="6">
        <f>CHOOSE(MATCH(Config!$B$2,{"PT";"EN"},0),"Passo 1 — Só precisa de preencher a coluna «Status» e (opcional) «Dup» nas folhas de figurinhas; o resto é fixo.","Step 1 — Only fill «Status» and optionally «Dup» on sticker sheets; other columns are fixed.")</f>
        <v/>
      </c>
    </row>
    <row r="9" ht="36" customHeight="1">
      <c r="A9" s="6">
        <f>CHOOSE(MATCH(Config!$B$2,{"PT";"EN"},0),"Passo 2 — Clique na célula «Status» e escolha na lista (os textos vêm de D1:D3 conforme PT ou EN em B2).","Step 2 — Click «Status» and pick from the list (labels follow D1:D3 based on PT or EN in B2).")</f>
        <v/>
      </c>
    </row>
    <row r="10" ht="30" customHeight="1">
      <c r="A10" s="6">
        <f>CHOOSE(MATCH(Config!$B$2,{"PT";"EN"},0),"Passo 3 — «Dup» = quantas repetidas tens dessa cromo (número). Deixe 0 se não tiver duplicada.","Step 3 — «Dup» = how many duplicates of that sticker (number). Use 0 if none.")</f>
        <v/>
      </c>
    </row>
    <row r="11" ht="30" customHeight="1">
      <c r="A11" s="6">
        <f>CHOOSE(MATCH(Config!$B$2,{"PT";"EN"},0),"• Página Inicial — coluna E (Status) · Museu FIFA — coluna E · Coca-Cola — coluna E · Extras — coluna E","• Intro — column E (Status) · FIFA Museum — column E · Coca-Cola — column E · Extras — column E")</f>
        <v/>
      </c>
    </row>
    <row r="12" ht="30" customHeight="1">
      <c r="A12" s="6">
        <f>CHOOSE(MATCH(Config!$B$2,{"PT";"EN"},0),"• Seleções — coluna H · Todas (980) — coluna H","• Teams — column H · Master 980 — column H")</f>
        <v/>
      </c>
    </row>
    <row r="13" ht="30" customHeight="1">
      <c r="A13" s="6">
        <f>CHOOSE(MATCH(Config!$B$2,{"PT";"EN"},0),"• Pacotes — folha «Pacotes» (datas / quantidade). · Siglas / Grupos — só consulta (sem Status).","• Packs — «Pacotes» sheet (dates / counts). · Codes / Groups — read-only (no Status).")</f>
        <v/>
      </c>
    </row>
    <row r="14" ht="30" customHeight="1">
      <c r="A14" s="6">
        <f>CHOOSE(MATCH(Config!$B$2,{"PT";"EN"},0),"Nota: se mudares PT↔EN, o Excel não traduz o que já escreveste em «Status»; podes voltar a escolher na lista.","Note: switching PT↔EN does not translate existing «Status» cells; re-pick from the list if you want.")</f>
        <v/>
      </c>
    </row>
  </sheetData>
  <mergeCells count="9">
    <mergeCell ref="A11:F11"/>
    <mergeCell ref="A10:F10"/>
    <mergeCell ref="A13:F13"/>
    <mergeCell ref="A14:F14"/>
    <mergeCell ref="C4:F5"/>
    <mergeCell ref="A9:F9"/>
    <mergeCell ref="A8:F8"/>
    <mergeCell ref="A12:F12"/>
    <mergeCell ref="A7:F7"/>
  </mergeCells>
  <dataValidations count="1">
    <dataValidation sqref="B2" showDropDown="0" showInputMessage="0" showErrorMessage="0" allowBlank="0" type="list">
      <formula1>=$G$1:$G$2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A8A04"/>
    <outlinePr summaryBelow="1" summaryRight="1"/>
    <pageSetUpPr/>
  </sheetPr>
  <dimension ref="A1:K5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11" customHeight="1">
      <c r="A1" s="7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9">
        <f>CHOOSE(MATCH(Config!$B$2,{"PT";"EN"},0),"Panini · FIFA World Cup 2026","Panini · FIFA World Cup 2026")</f>
        <v/>
      </c>
    </row>
    <row r="4"/>
    <row r="5"/>
    <row r="6"/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10">
        <f>CHOOSE(MATCH(Config!$B$2,{"PT";"EN"},0),"Comece pela folha «Config»: em B2 escolha PT ou EN (lista definida em G1:G2). Depois preencha só a coluna «Status» nas folhas de cromos — ver passos abaixo.","Start on «Config»: pick PT or EN in B2 (see G1:G2). Then fill only the «Status» column on sticker sheets — see steps below.")</f>
        <v/>
      </c>
    </row>
    <row r="9"/>
    <row r="10"/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44" customHeight="1">
      <c r="A12" s="11">
        <f>CHOOSE(MATCH(Config!$B$2,{"PT";"EN"},0),"① «Config» · B2 = idioma da interface. D1:D3 mostram os três estados da lista «Status» (Sim/Não/Falta trocar ou Yes/No/Need swap).","① «Config» · B2 = UI language. D1:D3 show the three «Status» states for dropdowns.")</f>
        <v/>
      </c>
    </row>
    <row r="13" ht="44" customHeight="1">
      <c r="A13" s="11">
        <f>CHOOSE(MATCH(Config!$B$2,{"PT";"EN"},0),"② O que editar: em cada folha de figurinhas use só «Status» e, se quiser, «Dup» (repetidas). Não altere código nem descrição.","② What to edit: on each sticker sheet use only «Status» and optionally «Dup» (duplicates). Do not change codes or descriptions.")</f>
        <v/>
      </c>
    </row>
    <row r="14" ht="44" customHeight="1">
      <c r="A14" s="11">
        <f>CHOOSE(MATCH(Config!$B$2,{"PT";"EN"},0),"③ Onde está «Status»: Página Inicial → coluna E · Seleções → H · Museu FIFA → E · Coca-Cola → E · Extras → E · Todas (980) → H.","③ Where «Status» lives: Intro → column E · Teams → H · Museum → E · Coca-Cola → E · Extras → E · Master 980 → H.")</f>
        <v/>
      </c>
    </row>
    <row r="15" ht="44" customHeight="1">
      <c r="A15" s="11">
        <f>CHOOSE(MATCH(Config!$B$2,{"PT";"EN"},0),"④ Pacotes anotados na folha «Pacotes». Siglas e Grupos são só referência. Dashboard e totais são automáticos.","④ Log packs on «Pacotes». Codes &amp; Groups are reference only. Dashboard and totals are automatic.")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12">
        <f>CHOOSE(MATCH(Config!$B$2,{"PT";"EN"},0),"Mapa do livro","Book map")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13">
        <f>CHOOSE(MATCH(Config!$B$2,{"PT";"EN"},0),"Secção","Section")</f>
        <v/>
      </c>
      <c r="B19" s="13">
        <f>CHOOSE(MATCH(Config!$B$2,{"PT";"EN"},0),"Atalho","Jump")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14" t="inlineStr">
        <is>
          <t>Dashboard</t>
        </is>
      </c>
      <c r="B20" s="15">
        <f>HYPERLINK("#'Dashboard'!A1",CHOOSE(MATCH(Config!$B$2,{"PT";"EN"},0),"► Painel","► Overview"))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14" t="inlineStr">
        <is>
          <t>Página Inicial</t>
        </is>
      </c>
      <c r="B21" s="15">
        <f>HYPERLINK("#'Página Inicial'!A1",CHOOSE(MATCH(Config!$B$2,{"PT";"EN"},0),"► Intro (9)","► Intro (9)"))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14" t="inlineStr">
        <is>
          <t>Seleções</t>
        </is>
      </c>
      <c r="B22" s="15">
        <f>HYPERLINK("#'Seleções'!A1",CHOOSE(MATCH(Config!$B$2,{"PT";"EN"},0),"► Equipas","► Teams"))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14" t="inlineStr">
        <is>
          <t>Museu FIFA</t>
        </is>
      </c>
      <c r="B23" s="15">
        <f>HYPERLINK("#'Museu FIFA'!A1",CHOOSE(MATCH(Config!$B$2,{"PT";"EN"},0),"► Museu FIFA","► FIFA Museum"))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14" t="inlineStr">
        <is>
          <t>Coca-Cola</t>
        </is>
      </c>
      <c r="B24" s="15">
        <f>HYPERLINK("#'Coca-Cola'!A1",CHOOSE(MATCH(Config!$B$2,{"PT";"EN"},0),"► Coca-Cola","► Coca-Cola"))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14" t="inlineStr">
        <is>
          <t>Extras</t>
        </is>
      </c>
      <c r="B25" s="15">
        <f>HYPERLINK("#'Extras'!A1",CHOOSE(MATCH(Config!$B$2,{"PT";"EN"},0),"► Extras","► Extras"))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14" t="inlineStr">
        <is>
          <t>Por seleção</t>
        </is>
      </c>
      <c r="B26" s="15">
        <f>HYPERLINK("#'Por seleção'!A1",CHOOSE(MATCH(Config!$B$2,{"PT";"EN"},0),"► Por país","► By nation"))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14" t="inlineStr">
        <is>
          <t>Pacotes</t>
        </is>
      </c>
      <c r="B27" s="15">
        <f>HYPERLINK("#'Pacotes'!A1",CHOOSE(MATCH(Config!$B$2,{"PT";"EN"},0),"► Pacotes","► Packs"))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14" t="inlineStr">
        <is>
          <t>Estatísticas</t>
        </is>
      </c>
      <c r="B28" s="15">
        <f>HYPERLINK("#'Estatísticas'!A1",CHOOSE(MATCH(Config!$B$2,{"PT";"EN"},0),"► Estatísticas","► Statistics"))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14" t="inlineStr">
        <is>
          <t>Siglas</t>
        </is>
      </c>
      <c r="B29" s="15">
        <f>HYPERLINK("#'Siglas'!A1",CHOOSE(MATCH(Config!$B$2,{"PT";"EN"},0),"► Siglas","► Codes"))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14" t="inlineStr">
        <is>
          <t>Grupos</t>
        </is>
      </c>
      <c r="B30" s="15">
        <f>HYPERLINK("#'Grupos'!A1",CHOOSE(MATCH(Config!$B$2,{"PT";"EN"},0),"► Grupos","► Groups"))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14" t="inlineStr">
        <is>
          <t>Todas (980)</t>
        </is>
      </c>
      <c r="B31" s="15">
        <f>HYPERLINK("#'Todas (980)'!A1",CHOOSE(MATCH(Config!$B$2,{"PT";"EN"},0),"► Lista 980","► Master 980"))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14" t="inlineStr">
        <is>
          <t>Config</t>
        </is>
      </c>
      <c r="B32" s="15">
        <f>HYPERLINK("#'Config'!A1",CHOOSE(MATCH(Config!$B$2,{"PT";"EN"},0),"► Idioma","► Language"))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16">
        <f>CHOOSE(MATCH(Config!$B$2,{"PT";"EN"},0),"Legenda · Status","Legend · Status")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>
        <f>CHOOSE(MATCH(Config!$B$2,{"PT";"EN"},0),"Ver também colunas em inglês nos cabeçalhos.","Headers use English keys for stable formulas.")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</sheetData>
  <mergeCells count="9">
    <mergeCell ref="A8:K10"/>
    <mergeCell ref="A12:K12"/>
    <mergeCell ref="A35:K35"/>
    <mergeCell ref="A3:K6"/>
    <mergeCell ref="A15:K15"/>
    <mergeCell ref="A13:K13"/>
    <mergeCell ref="A14:K14"/>
    <mergeCell ref="A1:K1"/>
    <mergeCell ref="A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A8A04"/>
    <outlinePr summaryBelow="1" summaryRight="1"/>
    <pageSetUpPr/>
  </sheetPr>
  <dimension ref="A1:W47"/>
  <sheetViews>
    <sheetView showGridLines="0" workbookViewId="0">
      <selection activeCell="A1" sqref="A1"/>
    </sheetView>
  </sheetViews>
  <sheetFormatPr baseColWidth="8" defaultRowHeight="15"/>
  <sheetData>
    <row r="1">
      <c r="A1" s="17">
        <f>CHOOSE(MATCH(Config!$B$2,{"PT";"EN"},0),"Painel da coleção","Collection dashboard")</f>
        <v/>
      </c>
    </row>
    <row r="2"/>
    <row r="3">
      <c r="A3" s="18">
        <f>CHOOSE(MATCH(Config!$B$2,{"PT";"EN"},0),"Dados das folhas de cromos (coluna Status). Idioma dos textos: Config · B2 (lista em G1:G2).","Numbers come from sticker sheets («Status» column). UI language: Config · B2 (see G1:G2).")</f>
        <v/>
      </c>
    </row>
    <row r="4">
      <c r="A4" s="8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8" t="n"/>
    </row>
    <row r="5">
      <c r="A5" s="8" t="n"/>
      <c r="B5" s="20">
        <f>CHOOSE(MATCH(Config!$B$2,{"PT";"EN"},0),"Álbum base","Base album")</f>
        <v/>
      </c>
      <c r="E5" s="20">
        <f>CHOOSE(MATCH(Config!$B$2,{"PT";"EN"},0),"Faltam","Missing")</f>
        <v/>
      </c>
      <c r="H5" s="20">
        <f>CHOOSE(MATCH(Config!$B$2,{"PT";"EN"},0),"% Completo","% Done")</f>
        <v/>
      </c>
      <c r="K5" s="20" t="inlineStr">
        <is>
          <t>Coca-Cola</t>
        </is>
      </c>
      <c r="N5" s="20" t="inlineStr">
        <is>
          <t>Extras</t>
        </is>
      </c>
      <c r="Q5" s="20">
        <f>CHOOSE(MATCH(Config!$B$2,{"PT";"EN"},0),"Duplicatas","Duplicates")</f>
        <v/>
      </c>
      <c r="T5" s="19" t="n"/>
      <c r="U5" s="19" t="n"/>
      <c r="V5" s="19" t="n"/>
      <c r="W5" s="8" t="n"/>
    </row>
    <row r="6">
      <c r="A6" s="8" t="n"/>
      <c r="B6" s="21">
        <f>'Estatísticas'!C7&amp;" / "&amp;'Estatísticas'!B7</f>
        <v/>
      </c>
      <c r="E6" s="21">
        <f>'Estatísticas'!E7</f>
        <v/>
      </c>
      <c r="H6" s="22">
        <f>'Estatísticas'!D7</f>
        <v/>
      </c>
      <c r="K6" s="21">
        <f>COUNTIF(tblCocaCola[Status],"Sim")+COUNTIF(tblCocaCola[Status],"Yes")&amp;" / "&amp;12</f>
        <v/>
      </c>
      <c r="N6" s="21">
        <f>COUNTIF(tblExtras[Status],"Sim")+COUNTIF(tblExtras[Status],"Yes")&amp;" / "&amp;20</f>
        <v/>
      </c>
      <c r="Q6" s="21">
        <f>SUM(tblPaginaInicial[Dup])+SUM(tblSelecoes[Dup])+SUM(tblMuseu[Dup])+SUM(tblCocaCola[Dup])+SUM(tblExtras[Dup])</f>
        <v/>
      </c>
      <c r="T6" s="19" t="n"/>
      <c r="U6" s="19" t="n"/>
      <c r="V6" s="19" t="n"/>
      <c r="W6" s="8" t="n"/>
    </row>
    <row r="7">
      <c r="A7" s="8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8" t="n"/>
    </row>
    <row r="8">
      <c r="A8" s="8" t="n"/>
      <c r="B8" s="20">
        <f>CHOOSE(MATCH(Config!$B$2,{"PT";"EN"},0),"Precisa troca","Need swap")</f>
        <v/>
      </c>
      <c r="E8" s="20">
        <f>CHOOSE(MATCH(Config!$B$2,{"PT";"EN"},0),"FOIL OK","FOIL OK")</f>
        <v/>
      </c>
      <c r="H8" s="20">
        <f>CHOOSE(MATCH(Config!$B$2,{"PT";"EN"},0),"Equipas fechadas","Nations done")</f>
        <v/>
      </c>
      <c r="K8" s="20">
        <f>CHOOSE(MATCH(Config!$B$2,{"PT";"EN"},0),"Hoje","Today")</f>
        <v/>
      </c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8" t="n"/>
    </row>
    <row r="9">
      <c r="A9" s="8" t="n"/>
      <c r="B9" s="21">
        <f>COUNTIF(tblPaginaInicial[Status],"Falta trocar")+COUNTIF(tblPaginaInicial[Status],"Need swap")+COUNTIF(tblSelecoes[Status],"Falta trocar")+COUNTIF(tblSelecoes[Status],"Need swap")+COUNTIF(tblMuseu[Status],"Falta trocar")+COUNTIF(tblMuseu[Status],"Need swap")</f>
        <v/>
      </c>
      <c r="E9" s="21">
        <f>SUMPRODUCT((tblPaginaInicial[Type]="FOIL")*((tblPaginaInicial[Status]="Sim")+(tblPaginaInicial[Status]="Yes")))+SUMPRODUCT((tblSelecoes[Type]="FOIL")*((tblSelecoes[Status]="Sim")+(tblSelecoes[Status]="Yes")))+SUMPRODUCT((tblMuseu[Type]="FOIL")*((tblMuseu[Status]="Sim")+(tblMuseu[Status]="Yes")))</f>
        <v/>
      </c>
      <c r="H9" s="21">
        <f>COUNTIF(tblPorSelecao[Left],0)</f>
        <v/>
      </c>
      <c r="K9" s="23">
        <f>TODAY()</f>
        <v/>
      </c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8" t="n"/>
    </row>
    <row r="10">
      <c r="A10" s="8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8" t="n"/>
    </row>
    <row r="11">
      <c r="A11" s="8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8" t="n"/>
    </row>
    <row r="12">
      <c r="A12" s="8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8" t="n"/>
    </row>
    <row r="13">
      <c r="A13" s="8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8" t="n"/>
    </row>
    <row r="14">
      <c r="A14" s="8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8" t="n"/>
    </row>
    <row r="15">
      <c r="A15" s="8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8" t="n"/>
    </row>
    <row r="16">
      <c r="A16" s="8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8" t="n"/>
    </row>
    <row r="17">
      <c r="A17" s="8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8" t="n"/>
    </row>
    <row r="18">
      <c r="A18" s="8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8" t="n"/>
    </row>
    <row r="19">
      <c r="A19" s="8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8" t="n"/>
    </row>
    <row r="20">
      <c r="A20" s="8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8" t="n"/>
    </row>
    <row r="21">
      <c r="A21" s="8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8" t="n"/>
    </row>
    <row r="22">
      <c r="A22" s="8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8" t="n"/>
    </row>
    <row r="23">
      <c r="A23" s="8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8" t="n"/>
    </row>
    <row r="24">
      <c r="A24" s="8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8" t="n"/>
    </row>
    <row r="25">
      <c r="A25" s="8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8" t="n"/>
    </row>
    <row r="26">
      <c r="A26" s="8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8" t="n"/>
    </row>
    <row r="27">
      <c r="A27" s="8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8" t="n"/>
    </row>
    <row r="28">
      <c r="A28" s="8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8" t="n"/>
    </row>
    <row r="29">
      <c r="A29" s="8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8" t="n"/>
    </row>
    <row r="30">
      <c r="A30" s="8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8" t="n"/>
    </row>
    <row r="31">
      <c r="A31" s="8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8" t="n"/>
    </row>
    <row r="32">
      <c r="A32" s="8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8" t="n"/>
    </row>
    <row r="33">
      <c r="A33" s="8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8" t="n"/>
    </row>
    <row r="34">
      <c r="A34" s="8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8" t="n"/>
    </row>
    <row r="35">
      <c r="A35" s="8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8" t="n"/>
    </row>
    <row r="36">
      <c r="A36" s="8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8" t="n"/>
    </row>
    <row r="37">
      <c r="A37" s="8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8" t="n"/>
    </row>
    <row r="38">
      <c r="A38" s="8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8" t="n"/>
    </row>
    <row r="39">
      <c r="A39" s="8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8" t="n"/>
    </row>
    <row r="40">
      <c r="A40" s="8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>
        <f>CHOOSE(MATCH(Config!$B$2,{"PT";"EN"},0),"Coladas","Collected")</f>
        <v/>
      </c>
      <c r="V40" s="19">
        <f>'Estatísticas'!C7</f>
        <v/>
      </c>
      <c r="W40" s="8" t="n"/>
    </row>
    <row r="41">
      <c r="A41" s="8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>
        <f>CHOOSE(MATCH(Config!$B$2,{"PT";"EN"},0),"Faltam","Missing")</f>
        <v/>
      </c>
      <c r="V41" s="19">
        <f>'Estatísticas'!E7</f>
        <v/>
      </c>
      <c r="W41" s="8" t="n"/>
    </row>
    <row r="42">
      <c r="A42" s="8" t="n"/>
      <c r="B42" s="24">
        <f>CHOOSE(MATCH(Config!$B$2,{"PT";"EN"},0),"Por seleção: barra por país. Pacotes não entram nos totais.","By nation: progress bars. Packs sheet does not affect totals.")</f>
        <v/>
      </c>
    </row>
    <row r="43">
      <c r="A43" s="8" t="n"/>
    </row>
    <row r="44">
      <c r="A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</row>
  </sheetData>
  <mergeCells count="23">
    <mergeCell ref="Q5:S5"/>
    <mergeCell ref="B8:D8"/>
    <mergeCell ref="N5:P5"/>
    <mergeCell ref="E9:G9"/>
    <mergeCell ref="E6:G6"/>
    <mergeCell ref="Q6:S6"/>
    <mergeCell ref="K8:M8"/>
    <mergeCell ref="B9:D9"/>
    <mergeCell ref="B6:D6"/>
    <mergeCell ref="N6:P6"/>
    <mergeCell ref="B5:D5"/>
    <mergeCell ref="K6:M6"/>
    <mergeCell ref="H5:J5"/>
    <mergeCell ref="A3:W3"/>
    <mergeCell ref="H8:J8"/>
    <mergeCell ref="A1:W2"/>
    <mergeCell ref="K9:M9"/>
    <mergeCell ref="E5:G5"/>
    <mergeCell ref="K5:M5"/>
    <mergeCell ref="B42:W44"/>
    <mergeCell ref="E8:G8"/>
    <mergeCell ref="H9:J9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F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3" max="3"/>
    <col width="14" customWidth="1" min="5" max="5"/>
  </cols>
  <sheetData>
    <row r="1" ht="28" customHeight="1">
      <c r="A1" s="25" t="inlineStr">
        <is>
          <t>Idx</t>
        </is>
      </c>
      <c r="B1" s="25" t="inlineStr">
        <is>
          <t>Code</t>
        </is>
      </c>
      <c r="C1" s="25" t="inlineStr">
        <is>
          <t>Sticker</t>
        </is>
      </c>
      <c r="D1" s="25" t="inlineStr">
        <is>
          <t>Type</t>
        </is>
      </c>
      <c r="E1" s="25" t="inlineStr">
        <is>
          <t>Status</t>
        </is>
      </c>
      <c r="F1" s="25" t="inlineStr">
        <is>
          <t>Dup</t>
        </is>
      </c>
    </row>
    <row r="2" ht="22" customHeight="1">
      <c r="A2" t="n">
        <v>1</v>
      </c>
      <c r="B2" t="inlineStr">
        <is>
          <t>00</t>
        </is>
      </c>
      <c r="C2" t="inlineStr">
        <is>
          <t>Panini Logo FOIL</t>
        </is>
      </c>
      <c r="D2" t="inlineStr">
        <is>
          <t>FOIL</t>
        </is>
      </c>
      <c r="F2" t="n">
        <v>0</v>
      </c>
    </row>
    <row r="3" ht="22" customHeight="1">
      <c r="A3" t="n">
        <v>2</v>
      </c>
      <c r="B3" t="inlineStr">
        <is>
          <t>FWC1</t>
        </is>
      </c>
      <c r="C3" t="inlineStr">
        <is>
          <t>Official Emblem FOIL</t>
        </is>
      </c>
      <c r="D3" t="inlineStr">
        <is>
          <t>FOIL</t>
        </is>
      </c>
      <c r="F3" t="n">
        <v>0</v>
      </c>
    </row>
    <row r="4" ht="22" customHeight="1">
      <c r="A4" t="n">
        <v>3</v>
      </c>
      <c r="B4" t="inlineStr">
        <is>
          <t>FWC2</t>
        </is>
      </c>
      <c r="C4" t="inlineStr">
        <is>
          <t>Official Emblem FOIL</t>
        </is>
      </c>
      <c r="D4" t="inlineStr">
        <is>
          <t>FOIL</t>
        </is>
      </c>
      <c r="F4" t="n">
        <v>0</v>
      </c>
    </row>
    <row r="5" ht="22" customHeight="1">
      <c r="A5" t="n">
        <v>4</v>
      </c>
      <c r="B5" t="inlineStr">
        <is>
          <t>FWC3</t>
        </is>
      </c>
      <c r="C5" t="inlineStr">
        <is>
          <t>Official Mascots FOIL</t>
        </is>
      </c>
      <c r="D5" t="inlineStr">
        <is>
          <t>FOIL</t>
        </is>
      </c>
      <c r="F5" t="n">
        <v>0</v>
      </c>
    </row>
    <row r="6" ht="22" customHeight="1">
      <c r="A6" t="n">
        <v>5</v>
      </c>
      <c r="B6" t="inlineStr">
        <is>
          <t>FWC4</t>
        </is>
      </c>
      <c r="C6" t="inlineStr">
        <is>
          <t>Official Slogan FOIL</t>
        </is>
      </c>
      <c r="D6" t="inlineStr">
        <is>
          <t>FOIL</t>
        </is>
      </c>
      <c r="F6" t="n">
        <v>0</v>
      </c>
    </row>
    <row r="7" ht="22" customHeight="1">
      <c r="A7" t="n">
        <v>6</v>
      </c>
      <c r="B7" t="inlineStr">
        <is>
          <t>FWC5</t>
        </is>
      </c>
      <c r="C7" t="inlineStr">
        <is>
          <t>Official Ball FOIL</t>
        </is>
      </c>
      <c r="D7" t="inlineStr">
        <is>
          <t>FOIL</t>
        </is>
      </c>
      <c r="F7" t="n">
        <v>0</v>
      </c>
    </row>
    <row r="8" ht="22" customHeight="1">
      <c r="A8" t="n">
        <v>7</v>
      </c>
      <c r="B8" t="inlineStr">
        <is>
          <t>FWC6</t>
        </is>
      </c>
      <c r="C8" t="inlineStr">
        <is>
          <t>Canada - Host Countries &amp; Cities FOIL</t>
        </is>
      </c>
      <c r="D8" t="inlineStr">
        <is>
          <t>FOIL</t>
        </is>
      </c>
      <c r="F8" t="n">
        <v>0</v>
      </c>
    </row>
    <row r="9" ht="22" customHeight="1">
      <c r="A9" t="n">
        <v>8</v>
      </c>
      <c r="B9" t="inlineStr">
        <is>
          <t>FWC7</t>
        </is>
      </c>
      <c r="C9" t="inlineStr">
        <is>
          <t>Mexico - Host Countries &amp; Cities FOIL</t>
        </is>
      </c>
      <c r="D9" t="inlineStr">
        <is>
          <t>FOIL</t>
        </is>
      </c>
      <c r="F9" t="n">
        <v>0</v>
      </c>
    </row>
    <row r="10" ht="22" customHeight="1">
      <c r="A10" t="n">
        <v>9</v>
      </c>
      <c r="B10" t="inlineStr">
        <is>
          <t>FWC8</t>
        </is>
      </c>
      <c r="C10" t="inlineStr">
        <is>
          <t>USA - Host Countries &amp; Cities FOIL</t>
        </is>
      </c>
      <c r="D10" t="inlineStr">
        <is>
          <t>FOIL</t>
        </is>
      </c>
      <c r="F10" t="n">
        <v>0</v>
      </c>
    </row>
  </sheetData>
  <conditionalFormatting sqref="E2:E10">
    <cfRule type="expression" priority="1" dxfId="0">
      <formula>OR($E2="Sim",$E2="Yes")</formula>
    </cfRule>
    <cfRule type="expression" priority="2" dxfId="1">
      <formula>OR($E2="Não",$E2="No")</formula>
    </cfRule>
    <cfRule type="expression" priority="3" dxfId="2">
      <formula>OR($E2="Falta trocar",$E2="Need swap")</formula>
    </cfRule>
  </conditionalFormatting>
  <dataValidations count="1">
    <dataValidation sqref="E2:E10" showDropDown="0" showInputMessage="0" showErrorMessage="0" allowBlank="1" errorTitle="Lista" error="Escolha um valor da lista em Config." type="list">
      <formula1>Config!$D$1:$D$3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I9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8" max="8"/>
  </cols>
  <sheetData>
    <row r="1" ht="28" customHeight="1">
      <c r="A1" s="25" t="inlineStr">
        <is>
          <t>Group</t>
        </is>
      </c>
      <c r="B1" s="25" t="inlineStr">
        <is>
          <t>Abbr</t>
        </is>
      </c>
      <c r="C1" s="25" t="inlineStr">
        <is>
          <t>Nation</t>
        </is>
      </c>
      <c r="D1" s="25" t="inlineStr">
        <is>
          <t>Idx</t>
        </is>
      </c>
      <c r="E1" s="25" t="inlineStr">
        <is>
          <t>Code</t>
        </is>
      </c>
      <c r="F1" s="25" t="inlineStr">
        <is>
          <t>Sticker</t>
        </is>
      </c>
      <c r="G1" s="25" t="inlineStr">
        <is>
          <t>Type</t>
        </is>
      </c>
      <c r="H1" s="25" t="inlineStr">
        <is>
          <t>Status</t>
        </is>
      </c>
      <c r="I1" s="25" t="inlineStr">
        <is>
          <t>Dup</t>
        </is>
      </c>
    </row>
    <row r="2" ht="20" customHeight="1">
      <c r="A2" t="inlineStr">
        <is>
          <t>Grupo A</t>
        </is>
      </c>
      <c r="B2" t="inlineStr">
        <is>
          <t>MEX</t>
        </is>
      </c>
      <c r="C2" t="inlineStr">
        <is>
          <t>Mexico</t>
        </is>
      </c>
      <c r="D2" t="n">
        <v>1</v>
      </c>
      <c r="E2" t="inlineStr">
        <is>
          <t>MEX1</t>
        </is>
      </c>
      <c r="F2" t="inlineStr">
        <is>
          <t>Team Logo - Mexico FOIL</t>
        </is>
      </c>
      <c r="G2" t="inlineStr">
        <is>
          <t>FOIL</t>
        </is>
      </c>
      <c r="I2" t="n">
        <v>0</v>
      </c>
    </row>
    <row r="3" ht="20" customHeight="1">
      <c r="A3" t="inlineStr">
        <is>
          <t>Grupo A</t>
        </is>
      </c>
      <c r="B3" t="inlineStr">
        <is>
          <t>MEX</t>
        </is>
      </c>
      <c r="C3" t="inlineStr">
        <is>
          <t>Mexico</t>
        </is>
      </c>
      <c r="D3" t="n">
        <v>2</v>
      </c>
      <c r="E3" t="inlineStr">
        <is>
          <t>MEX2</t>
        </is>
      </c>
      <c r="F3" t="inlineStr">
        <is>
          <t>Luis Malagón - Mexico</t>
        </is>
      </c>
      <c r="G3" t="inlineStr">
        <is>
          <t>Base</t>
        </is>
      </c>
      <c r="I3" t="n">
        <v>0</v>
      </c>
    </row>
    <row r="4" ht="20" customHeight="1">
      <c r="A4" t="inlineStr">
        <is>
          <t>Grupo A</t>
        </is>
      </c>
      <c r="B4" t="inlineStr">
        <is>
          <t>MEX</t>
        </is>
      </c>
      <c r="C4" t="inlineStr">
        <is>
          <t>Mexico</t>
        </is>
      </c>
      <c r="D4" t="n">
        <v>3</v>
      </c>
      <c r="E4" t="inlineStr">
        <is>
          <t>MEX3</t>
        </is>
      </c>
      <c r="F4" t="inlineStr">
        <is>
          <t>Johan Vasquez - Mexico</t>
        </is>
      </c>
      <c r="G4" t="inlineStr">
        <is>
          <t>Base</t>
        </is>
      </c>
      <c r="I4" t="n">
        <v>0</v>
      </c>
    </row>
    <row r="5" ht="20" customHeight="1">
      <c r="A5" t="inlineStr">
        <is>
          <t>Grupo A</t>
        </is>
      </c>
      <c r="B5" t="inlineStr">
        <is>
          <t>MEX</t>
        </is>
      </c>
      <c r="C5" t="inlineStr">
        <is>
          <t>Mexico</t>
        </is>
      </c>
      <c r="D5" t="n">
        <v>4</v>
      </c>
      <c r="E5" t="inlineStr">
        <is>
          <t>MEX4</t>
        </is>
      </c>
      <c r="F5" t="inlineStr">
        <is>
          <t>Jorge Sánchez - Mexico</t>
        </is>
      </c>
      <c r="G5" t="inlineStr">
        <is>
          <t>Base</t>
        </is>
      </c>
      <c r="I5" t="n">
        <v>0</v>
      </c>
    </row>
    <row r="6" ht="20" customHeight="1">
      <c r="A6" t="inlineStr">
        <is>
          <t>Grupo A</t>
        </is>
      </c>
      <c r="B6" t="inlineStr">
        <is>
          <t>MEX</t>
        </is>
      </c>
      <c r="C6" t="inlineStr">
        <is>
          <t>Mexico</t>
        </is>
      </c>
      <c r="D6" t="n">
        <v>5</v>
      </c>
      <c r="E6" t="inlineStr">
        <is>
          <t>MEX5</t>
        </is>
      </c>
      <c r="F6" t="inlineStr">
        <is>
          <t>Cesar Montes - Mexico</t>
        </is>
      </c>
      <c r="G6" t="inlineStr">
        <is>
          <t>Base</t>
        </is>
      </c>
      <c r="I6" t="n">
        <v>0</v>
      </c>
    </row>
    <row r="7" ht="20" customHeight="1">
      <c r="A7" t="inlineStr">
        <is>
          <t>Grupo A</t>
        </is>
      </c>
      <c r="B7" t="inlineStr">
        <is>
          <t>MEX</t>
        </is>
      </c>
      <c r="C7" t="inlineStr">
        <is>
          <t>Mexico</t>
        </is>
      </c>
      <c r="D7" t="n">
        <v>6</v>
      </c>
      <c r="E7" t="inlineStr">
        <is>
          <t>MEX6</t>
        </is>
      </c>
      <c r="F7" t="inlineStr">
        <is>
          <t>Jesus Gallardo - Mexico</t>
        </is>
      </c>
      <c r="G7" t="inlineStr">
        <is>
          <t>Base</t>
        </is>
      </c>
      <c r="I7" t="n">
        <v>0</v>
      </c>
    </row>
    <row r="8" ht="20" customHeight="1">
      <c r="A8" t="inlineStr">
        <is>
          <t>Grupo A</t>
        </is>
      </c>
      <c r="B8" t="inlineStr">
        <is>
          <t>MEX</t>
        </is>
      </c>
      <c r="C8" t="inlineStr">
        <is>
          <t>Mexico</t>
        </is>
      </c>
      <c r="D8" t="n">
        <v>7</v>
      </c>
      <c r="E8" t="inlineStr">
        <is>
          <t>MEX7</t>
        </is>
      </c>
      <c r="F8" t="inlineStr">
        <is>
          <t>Israel Reyes - Mexico</t>
        </is>
      </c>
      <c r="G8" t="inlineStr">
        <is>
          <t>Base</t>
        </is>
      </c>
      <c r="I8" t="n">
        <v>0</v>
      </c>
    </row>
    <row r="9" ht="20" customHeight="1">
      <c r="A9" t="inlineStr">
        <is>
          <t>Grupo A</t>
        </is>
      </c>
      <c r="B9" t="inlineStr">
        <is>
          <t>MEX</t>
        </is>
      </c>
      <c r="C9" t="inlineStr">
        <is>
          <t>Mexico</t>
        </is>
      </c>
      <c r="D9" t="n">
        <v>8</v>
      </c>
      <c r="E9" t="inlineStr">
        <is>
          <t>MEX8</t>
        </is>
      </c>
      <c r="F9" t="inlineStr">
        <is>
          <t>Diego Lainez - Mexico</t>
        </is>
      </c>
      <c r="G9" t="inlineStr">
        <is>
          <t>Base</t>
        </is>
      </c>
      <c r="I9" t="n">
        <v>0</v>
      </c>
    </row>
    <row r="10" ht="20" customHeight="1">
      <c r="A10" t="inlineStr">
        <is>
          <t>Grupo A</t>
        </is>
      </c>
      <c r="B10" t="inlineStr">
        <is>
          <t>MEX</t>
        </is>
      </c>
      <c r="C10" t="inlineStr">
        <is>
          <t>Mexico</t>
        </is>
      </c>
      <c r="D10" t="n">
        <v>9</v>
      </c>
      <c r="E10" t="inlineStr">
        <is>
          <t>MEX9</t>
        </is>
      </c>
      <c r="F10" t="inlineStr">
        <is>
          <t>Carlos Rodriguez - Mexico</t>
        </is>
      </c>
      <c r="G10" t="inlineStr">
        <is>
          <t>Base</t>
        </is>
      </c>
      <c r="I10" t="n">
        <v>0</v>
      </c>
    </row>
    <row r="11" ht="20" customHeight="1">
      <c r="A11" t="inlineStr">
        <is>
          <t>Grupo A</t>
        </is>
      </c>
      <c r="B11" t="inlineStr">
        <is>
          <t>MEX</t>
        </is>
      </c>
      <c r="C11" t="inlineStr">
        <is>
          <t>Mexico</t>
        </is>
      </c>
      <c r="D11" t="n">
        <v>10</v>
      </c>
      <c r="E11" t="inlineStr">
        <is>
          <t>MEX10</t>
        </is>
      </c>
      <c r="F11" t="inlineStr">
        <is>
          <t>Edson Alvarez - Mexico</t>
        </is>
      </c>
      <c r="G11" t="inlineStr">
        <is>
          <t>Base</t>
        </is>
      </c>
      <c r="I11" t="n">
        <v>0</v>
      </c>
    </row>
    <row r="12" ht="20" customHeight="1">
      <c r="A12" t="inlineStr">
        <is>
          <t>Grupo A</t>
        </is>
      </c>
      <c r="B12" t="inlineStr">
        <is>
          <t>MEX</t>
        </is>
      </c>
      <c r="C12" t="inlineStr">
        <is>
          <t>Mexico</t>
        </is>
      </c>
      <c r="D12" t="n">
        <v>11</v>
      </c>
      <c r="E12" t="inlineStr">
        <is>
          <t>MEX11</t>
        </is>
      </c>
      <c r="F12" t="inlineStr">
        <is>
          <t>Orbelin Pineda - Mexico</t>
        </is>
      </c>
      <c r="G12" t="inlineStr">
        <is>
          <t>Base</t>
        </is>
      </c>
      <c r="I12" t="n">
        <v>0</v>
      </c>
    </row>
    <row r="13" ht="20" customHeight="1">
      <c r="A13" t="inlineStr">
        <is>
          <t>Grupo A</t>
        </is>
      </c>
      <c r="B13" t="inlineStr">
        <is>
          <t>MEX</t>
        </is>
      </c>
      <c r="C13" t="inlineStr">
        <is>
          <t>Mexico</t>
        </is>
      </c>
      <c r="D13" t="n">
        <v>12</v>
      </c>
      <c r="E13" t="inlineStr">
        <is>
          <t>MEX12</t>
        </is>
      </c>
      <c r="F13" t="inlineStr">
        <is>
          <t>Marcel Ruiz - Mexico</t>
        </is>
      </c>
      <c r="G13" t="inlineStr">
        <is>
          <t>Base</t>
        </is>
      </c>
      <c r="I13" t="n">
        <v>0</v>
      </c>
    </row>
    <row r="14" ht="20" customHeight="1">
      <c r="A14" t="inlineStr">
        <is>
          <t>Grupo A</t>
        </is>
      </c>
      <c r="B14" t="inlineStr">
        <is>
          <t>MEX</t>
        </is>
      </c>
      <c r="C14" t="inlineStr">
        <is>
          <t>Mexico</t>
        </is>
      </c>
      <c r="D14" t="n">
        <v>13</v>
      </c>
      <c r="E14" t="inlineStr">
        <is>
          <t>MEX13</t>
        </is>
      </c>
      <c r="F14" t="inlineStr">
        <is>
          <t>Team Photo - Mexico</t>
        </is>
      </c>
      <c r="G14" t="inlineStr">
        <is>
          <t>Base</t>
        </is>
      </c>
      <c r="I14" t="n">
        <v>0</v>
      </c>
    </row>
    <row r="15" ht="20" customHeight="1">
      <c r="A15" t="inlineStr">
        <is>
          <t>Grupo A</t>
        </is>
      </c>
      <c r="B15" t="inlineStr">
        <is>
          <t>MEX</t>
        </is>
      </c>
      <c r="C15" t="inlineStr">
        <is>
          <t>Mexico</t>
        </is>
      </c>
      <c r="D15" t="n">
        <v>14</v>
      </c>
      <c r="E15" t="inlineStr">
        <is>
          <t>MEX14</t>
        </is>
      </c>
      <c r="F15" t="inlineStr">
        <is>
          <t>Érick Sánchez - Mexico</t>
        </is>
      </c>
      <c r="G15" t="inlineStr">
        <is>
          <t>Base</t>
        </is>
      </c>
      <c r="I15" t="n">
        <v>0</v>
      </c>
    </row>
    <row r="16" ht="20" customHeight="1">
      <c r="A16" t="inlineStr">
        <is>
          <t>Grupo A</t>
        </is>
      </c>
      <c r="B16" t="inlineStr">
        <is>
          <t>MEX</t>
        </is>
      </c>
      <c r="C16" t="inlineStr">
        <is>
          <t>Mexico</t>
        </is>
      </c>
      <c r="D16" t="n">
        <v>15</v>
      </c>
      <c r="E16" t="inlineStr">
        <is>
          <t>MEX15</t>
        </is>
      </c>
      <c r="F16" t="inlineStr">
        <is>
          <t>Hirving Lozano - Mexico</t>
        </is>
      </c>
      <c r="G16" t="inlineStr">
        <is>
          <t>Base</t>
        </is>
      </c>
      <c r="I16" t="n">
        <v>0</v>
      </c>
    </row>
    <row r="17" ht="20" customHeight="1">
      <c r="A17" t="inlineStr">
        <is>
          <t>Grupo A</t>
        </is>
      </c>
      <c r="B17" t="inlineStr">
        <is>
          <t>MEX</t>
        </is>
      </c>
      <c r="C17" t="inlineStr">
        <is>
          <t>Mexico</t>
        </is>
      </c>
      <c r="D17" t="n">
        <v>16</v>
      </c>
      <c r="E17" t="inlineStr">
        <is>
          <t>MEX16</t>
        </is>
      </c>
      <c r="F17" t="inlineStr">
        <is>
          <t>Santiago Giménez - Mexico</t>
        </is>
      </c>
      <c r="G17" t="inlineStr">
        <is>
          <t>Base</t>
        </is>
      </c>
      <c r="I17" t="n">
        <v>0</v>
      </c>
    </row>
    <row r="18" ht="20" customHeight="1">
      <c r="A18" t="inlineStr">
        <is>
          <t>Grupo A</t>
        </is>
      </c>
      <c r="B18" t="inlineStr">
        <is>
          <t>MEX</t>
        </is>
      </c>
      <c r="C18" t="inlineStr">
        <is>
          <t>Mexico</t>
        </is>
      </c>
      <c r="D18" t="n">
        <v>17</v>
      </c>
      <c r="E18" t="inlineStr">
        <is>
          <t>MEX17</t>
        </is>
      </c>
      <c r="F18" t="inlineStr">
        <is>
          <t>Raúl Jiménez - Mexico</t>
        </is>
      </c>
      <c r="G18" t="inlineStr">
        <is>
          <t>Base</t>
        </is>
      </c>
      <c r="I18" t="n">
        <v>0</v>
      </c>
    </row>
    <row r="19" ht="20" customHeight="1">
      <c r="A19" t="inlineStr">
        <is>
          <t>Grupo A</t>
        </is>
      </c>
      <c r="B19" t="inlineStr">
        <is>
          <t>MEX</t>
        </is>
      </c>
      <c r="C19" t="inlineStr">
        <is>
          <t>Mexico</t>
        </is>
      </c>
      <c r="D19" t="n">
        <v>18</v>
      </c>
      <c r="E19" t="inlineStr">
        <is>
          <t>MEX18</t>
        </is>
      </c>
      <c r="F19" t="inlineStr">
        <is>
          <t>Alexis Vega - Mexico</t>
        </is>
      </c>
      <c r="G19" t="inlineStr">
        <is>
          <t>Base</t>
        </is>
      </c>
      <c r="I19" t="n">
        <v>0</v>
      </c>
    </row>
    <row r="20" ht="20" customHeight="1">
      <c r="A20" t="inlineStr">
        <is>
          <t>Grupo A</t>
        </is>
      </c>
      <c r="B20" t="inlineStr">
        <is>
          <t>MEX</t>
        </is>
      </c>
      <c r="C20" t="inlineStr">
        <is>
          <t>Mexico</t>
        </is>
      </c>
      <c r="D20" t="n">
        <v>19</v>
      </c>
      <c r="E20" t="inlineStr">
        <is>
          <t>MEX19</t>
        </is>
      </c>
      <c r="F20" t="inlineStr">
        <is>
          <t>Roberto Alvarado - Mexico</t>
        </is>
      </c>
      <c r="G20" t="inlineStr">
        <is>
          <t>Base</t>
        </is>
      </c>
      <c r="I20" t="n">
        <v>0</v>
      </c>
    </row>
    <row r="21" ht="20" customHeight="1">
      <c r="A21" t="inlineStr">
        <is>
          <t>Grupo A</t>
        </is>
      </c>
      <c r="B21" t="inlineStr">
        <is>
          <t>MEX</t>
        </is>
      </c>
      <c r="C21" t="inlineStr">
        <is>
          <t>Mexico</t>
        </is>
      </c>
      <c r="D21" t="n">
        <v>20</v>
      </c>
      <c r="E21" t="inlineStr">
        <is>
          <t>MEX20</t>
        </is>
      </c>
      <c r="F21" t="inlineStr">
        <is>
          <t>Cesar Huerta - Mexico</t>
        </is>
      </c>
      <c r="G21" t="inlineStr">
        <is>
          <t>Base</t>
        </is>
      </c>
      <c r="I21" t="n">
        <v>0</v>
      </c>
    </row>
    <row r="22" ht="20" customHeight="1">
      <c r="A22" t="inlineStr">
        <is>
          <t>Grupo A</t>
        </is>
      </c>
      <c r="B22" t="inlineStr">
        <is>
          <t>RSA</t>
        </is>
      </c>
      <c r="C22" t="inlineStr">
        <is>
          <t>South Africa</t>
        </is>
      </c>
      <c r="D22" t="n">
        <v>1</v>
      </c>
      <c r="E22" t="inlineStr">
        <is>
          <t>RSA1</t>
        </is>
      </c>
      <c r="F22" t="inlineStr">
        <is>
          <t>Team Logo - South Africa FOIL</t>
        </is>
      </c>
      <c r="G22" t="inlineStr">
        <is>
          <t>FOIL</t>
        </is>
      </c>
      <c r="I22" t="n">
        <v>0</v>
      </c>
    </row>
    <row r="23" ht="20" customHeight="1">
      <c r="A23" t="inlineStr">
        <is>
          <t>Grupo A</t>
        </is>
      </c>
      <c r="B23" t="inlineStr">
        <is>
          <t>RSA</t>
        </is>
      </c>
      <c r="C23" t="inlineStr">
        <is>
          <t>South Africa</t>
        </is>
      </c>
      <c r="D23" t="n">
        <v>2</v>
      </c>
      <c r="E23" t="inlineStr">
        <is>
          <t>RSA2</t>
        </is>
      </c>
      <c r="F23" t="inlineStr">
        <is>
          <t>Ronwen Williams - South Africa</t>
        </is>
      </c>
      <c r="G23" t="inlineStr">
        <is>
          <t>Base</t>
        </is>
      </c>
      <c r="I23" t="n">
        <v>0</v>
      </c>
    </row>
    <row r="24" ht="20" customHeight="1">
      <c r="A24" t="inlineStr">
        <is>
          <t>Grupo A</t>
        </is>
      </c>
      <c r="B24" t="inlineStr">
        <is>
          <t>RSA</t>
        </is>
      </c>
      <c r="C24" t="inlineStr">
        <is>
          <t>South Africa</t>
        </is>
      </c>
      <c r="D24" t="n">
        <v>3</v>
      </c>
      <c r="E24" t="inlineStr">
        <is>
          <t>RSA3</t>
        </is>
      </c>
      <c r="F24" t="inlineStr">
        <is>
          <t>Sipho Chaine - South Africa</t>
        </is>
      </c>
      <c r="G24" t="inlineStr">
        <is>
          <t>Base</t>
        </is>
      </c>
      <c r="I24" t="n">
        <v>0</v>
      </c>
    </row>
    <row r="25" ht="20" customHeight="1">
      <c r="A25" t="inlineStr">
        <is>
          <t>Grupo A</t>
        </is>
      </c>
      <c r="B25" t="inlineStr">
        <is>
          <t>RSA</t>
        </is>
      </c>
      <c r="C25" t="inlineStr">
        <is>
          <t>South Africa</t>
        </is>
      </c>
      <c r="D25" t="n">
        <v>4</v>
      </c>
      <c r="E25" t="inlineStr">
        <is>
          <t>RSA4</t>
        </is>
      </c>
      <c r="F25" t="inlineStr">
        <is>
          <t>Aubrey Modiba - South Africa</t>
        </is>
      </c>
      <c r="G25" t="inlineStr">
        <is>
          <t>Base</t>
        </is>
      </c>
      <c r="I25" t="n">
        <v>0</v>
      </c>
    </row>
    <row r="26" ht="20" customHeight="1">
      <c r="A26" t="inlineStr">
        <is>
          <t>Grupo A</t>
        </is>
      </c>
      <c r="B26" t="inlineStr">
        <is>
          <t>RSA</t>
        </is>
      </c>
      <c r="C26" t="inlineStr">
        <is>
          <t>South Africa</t>
        </is>
      </c>
      <c r="D26" t="n">
        <v>5</v>
      </c>
      <c r="E26" t="inlineStr">
        <is>
          <t>RSA5</t>
        </is>
      </c>
      <c r="F26" t="inlineStr">
        <is>
          <t>Samukele Kabini - South Africa</t>
        </is>
      </c>
      <c r="G26" t="inlineStr">
        <is>
          <t>Base</t>
        </is>
      </c>
      <c r="I26" t="n">
        <v>0</v>
      </c>
    </row>
    <row r="27" ht="20" customHeight="1">
      <c r="A27" t="inlineStr">
        <is>
          <t>Grupo A</t>
        </is>
      </c>
      <c r="B27" t="inlineStr">
        <is>
          <t>RSA</t>
        </is>
      </c>
      <c r="C27" t="inlineStr">
        <is>
          <t>South Africa</t>
        </is>
      </c>
      <c r="D27" t="n">
        <v>6</v>
      </c>
      <c r="E27" t="inlineStr">
        <is>
          <t>RSA6</t>
        </is>
      </c>
      <c r="F27" t="inlineStr">
        <is>
          <t>Mbekezeli Mbokazi - South Africa</t>
        </is>
      </c>
      <c r="G27" t="inlineStr">
        <is>
          <t>Base</t>
        </is>
      </c>
      <c r="I27" t="n">
        <v>0</v>
      </c>
    </row>
    <row r="28" ht="20" customHeight="1">
      <c r="A28" t="inlineStr">
        <is>
          <t>Grupo A</t>
        </is>
      </c>
      <c r="B28" t="inlineStr">
        <is>
          <t>RSA</t>
        </is>
      </c>
      <c r="C28" t="inlineStr">
        <is>
          <t>South Africa</t>
        </is>
      </c>
      <c r="D28" t="n">
        <v>7</v>
      </c>
      <c r="E28" t="inlineStr">
        <is>
          <t>RSA7</t>
        </is>
      </c>
      <c r="F28" t="inlineStr">
        <is>
          <t>Khulumani Ndamane - South Africa</t>
        </is>
      </c>
      <c r="G28" t="inlineStr">
        <is>
          <t>Base</t>
        </is>
      </c>
      <c r="I28" t="n">
        <v>0</v>
      </c>
    </row>
    <row r="29" ht="20" customHeight="1">
      <c r="A29" t="inlineStr">
        <is>
          <t>Grupo A</t>
        </is>
      </c>
      <c r="B29" t="inlineStr">
        <is>
          <t>RSA</t>
        </is>
      </c>
      <c r="C29" t="inlineStr">
        <is>
          <t>South Africa</t>
        </is>
      </c>
      <c r="D29" t="n">
        <v>8</v>
      </c>
      <c r="E29" t="inlineStr">
        <is>
          <t>RSA8</t>
        </is>
      </c>
      <c r="F29" t="inlineStr">
        <is>
          <t>Siyabonga Ngezana - South Africa</t>
        </is>
      </c>
      <c r="G29" t="inlineStr">
        <is>
          <t>Base</t>
        </is>
      </c>
      <c r="I29" t="n">
        <v>0</v>
      </c>
    </row>
    <row r="30" ht="20" customHeight="1">
      <c r="A30" t="inlineStr">
        <is>
          <t>Grupo A</t>
        </is>
      </c>
      <c r="B30" t="inlineStr">
        <is>
          <t>RSA</t>
        </is>
      </c>
      <c r="C30" t="inlineStr">
        <is>
          <t>South Africa</t>
        </is>
      </c>
      <c r="D30" t="n">
        <v>9</v>
      </c>
      <c r="E30" t="inlineStr">
        <is>
          <t>RSA9</t>
        </is>
      </c>
      <c r="F30" t="inlineStr">
        <is>
          <t>Khuliso Mudau - South Africa</t>
        </is>
      </c>
      <c r="G30" t="inlineStr">
        <is>
          <t>Base</t>
        </is>
      </c>
      <c r="I30" t="n">
        <v>0</v>
      </c>
    </row>
    <row r="31" ht="20" customHeight="1">
      <c r="A31" t="inlineStr">
        <is>
          <t>Grupo A</t>
        </is>
      </c>
      <c r="B31" t="inlineStr">
        <is>
          <t>RSA</t>
        </is>
      </c>
      <c r="C31" t="inlineStr">
        <is>
          <t>South Africa</t>
        </is>
      </c>
      <c r="D31" t="n">
        <v>10</v>
      </c>
      <c r="E31" t="inlineStr">
        <is>
          <t>RSA10</t>
        </is>
      </c>
      <c r="F31" t="inlineStr">
        <is>
          <t>Nkosinathi Sibisi - South Africa</t>
        </is>
      </c>
      <c r="G31" t="inlineStr">
        <is>
          <t>Base</t>
        </is>
      </c>
      <c r="I31" t="n">
        <v>0</v>
      </c>
    </row>
    <row r="32" ht="20" customHeight="1">
      <c r="A32" t="inlineStr">
        <is>
          <t>Grupo A</t>
        </is>
      </c>
      <c r="B32" t="inlineStr">
        <is>
          <t>RSA</t>
        </is>
      </c>
      <c r="C32" t="inlineStr">
        <is>
          <t>South Africa</t>
        </is>
      </c>
      <c r="D32" t="n">
        <v>11</v>
      </c>
      <c r="E32" t="inlineStr">
        <is>
          <t>RSA11</t>
        </is>
      </c>
      <c r="F32" t="inlineStr">
        <is>
          <t>Teboho Mokoena - South Africa</t>
        </is>
      </c>
      <c r="G32" t="inlineStr">
        <is>
          <t>Base</t>
        </is>
      </c>
      <c r="I32" t="n">
        <v>0</v>
      </c>
    </row>
    <row r="33" ht="20" customHeight="1">
      <c r="A33" t="inlineStr">
        <is>
          <t>Grupo A</t>
        </is>
      </c>
      <c r="B33" t="inlineStr">
        <is>
          <t>RSA</t>
        </is>
      </c>
      <c r="C33" t="inlineStr">
        <is>
          <t>South Africa</t>
        </is>
      </c>
      <c r="D33" t="n">
        <v>12</v>
      </c>
      <c r="E33" t="inlineStr">
        <is>
          <t>RSA12</t>
        </is>
      </c>
      <c r="F33" t="inlineStr">
        <is>
          <t>Thalente Mbatha - South Africa</t>
        </is>
      </c>
      <c r="G33" t="inlineStr">
        <is>
          <t>Base</t>
        </is>
      </c>
      <c r="I33" t="n">
        <v>0</v>
      </c>
    </row>
    <row r="34" ht="20" customHeight="1">
      <c r="A34" t="inlineStr">
        <is>
          <t>Grupo A</t>
        </is>
      </c>
      <c r="B34" t="inlineStr">
        <is>
          <t>RSA</t>
        </is>
      </c>
      <c r="C34" t="inlineStr">
        <is>
          <t>South Africa</t>
        </is>
      </c>
      <c r="D34" t="n">
        <v>13</v>
      </c>
      <c r="E34" t="inlineStr">
        <is>
          <t>RSA13</t>
        </is>
      </c>
      <c r="F34" t="inlineStr">
        <is>
          <t>Team Photo - South Africa</t>
        </is>
      </c>
      <c r="G34" t="inlineStr">
        <is>
          <t>Base</t>
        </is>
      </c>
      <c r="I34" t="n">
        <v>0</v>
      </c>
    </row>
    <row r="35" ht="20" customHeight="1">
      <c r="A35" t="inlineStr">
        <is>
          <t>Grupo A</t>
        </is>
      </c>
      <c r="B35" t="inlineStr">
        <is>
          <t>RSA</t>
        </is>
      </c>
      <c r="C35" t="inlineStr">
        <is>
          <t>South Africa</t>
        </is>
      </c>
      <c r="D35" t="n">
        <v>14</v>
      </c>
      <c r="E35" t="inlineStr">
        <is>
          <t>RSA14</t>
        </is>
      </c>
      <c r="F35" t="inlineStr">
        <is>
          <t>Bathasi Aubaas - South Africa</t>
        </is>
      </c>
      <c r="G35" t="inlineStr">
        <is>
          <t>Base</t>
        </is>
      </c>
      <c r="I35" t="n">
        <v>0</v>
      </c>
    </row>
    <row r="36" ht="20" customHeight="1">
      <c r="A36" t="inlineStr">
        <is>
          <t>Grupo A</t>
        </is>
      </c>
      <c r="B36" t="inlineStr">
        <is>
          <t>RSA</t>
        </is>
      </c>
      <c r="C36" t="inlineStr">
        <is>
          <t>South Africa</t>
        </is>
      </c>
      <c r="D36" t="n">
        <v>15</v>
      </c>
      <c r="E36" t="inlineStr">
        <is>
          <t>RSA15</t>
        </is>
      </c>
      <c r="F36" t="inlineStr">
        <is>
          <t>Yaya Sithole - South Africa</t>
        </is>
      </c>
      <c r="G36" t="inlineStr">
        <is>
          <t>Base</t>
        </is>
      </c>
      <c r="I36" t="n">
        <v>0</v>
      </c>
    </row>
    <row r="37" ht="20" customHeight="1">
      <c r="A37" t="inlineStr">
        <is>
          <t>Grupo A</t>
        </is>
      </c>
      <c r="B37" t="inlineStr">
        <is>
          <t>RSA</t>
        </is>
      </c>
      <c r="C37" t="inlineStr">
        <is>
          <t>South Africa</t>
        </is>
      </c>
      <c r="D37" t="n">
        <v>16</v>
      </c>
      <c r="E37" t="inlineStr">
        <is>
          <t>RSA16</t>
        </is>
      </c>
      <c r="F37" t="inlineStr">
        <is>
          <t>Sipho Mbule - South Africa</t>
        </is>
      </c>
      <c r="G37" t="inlineStr">
        <is>
          <t>Base</t>
        </is>
      </c>
      <c r="I37" t="n">
        <v>0</v>
      </c>
    </row>
    <row r="38" ht="20" customHeight="1">
      <c r="A38" t="inlineStr">
        <is>
          <t>Grupo A</t>
        </is>
      </c>
      <c r="B38" t="inlineStr">
        <is>
          <t>RSA</t>
        </is>
      </c>
      <c r="C38" t="inlineStr">
        <is>
          <t>South Africa</t>
        </is>
      </c>
      <c r="D38" t="n">
        <v>17</v>
      </c>
      <c r="E38" t="inlineStr">
        <is>
          <t>RSA17</t>
        </is>
      </c>
      <c r="F38" t="inlineStr">
        <is>
          <t>Lyle Foster - South Africa</t>
        </is>
      </c>
      <c r="G38" t="inlineStr">
        <is>
          <t>Base</t>
        </is>
      </c>
      <c r="I38" t="n">
        <v>0</v>
      </c>
    </row>
    <row r="39" ht="20" customHeight="1">
      <c r="A39" t="inlineStr">
        <is>
          <t>Grupo A</t>
        </is>
      </c>
      <c r="B39" t="inlineStr">
        <is>
          <t>RSA</t>
        </is>
      </c>
      <c r="C39" t="inlineStr">
        <is>
          <t>South Africa</t>
        </is>
      </c>
      <c r="D39" t="n">
        <v>18</v>
      </c>
      <c r="E39" t="inlineStr">
        <is>
          <t>RSA18</t>
        </is>
      </c>
      <c r="F39" t="inlineStr">
        <is>
          <t>Iqraam Rayners - South Africa</t>
        </is>
      </c>
      <c r="G39" t="inlineStr">
        <is>
          <t>Base</t>
        </is>
      </c>
      <c r="I39" t="n">
        <v>0</v>
      </c>
    </row>
    <row r="40" ht="20" customHeight="1">
      <c r="A40" t="inlineStr">
        <is>
          <t>Grupo A</t>
        </is>
      </c>
      <c r="B40" t="inlineStr">
        <is>
          <t>RSA</t>
        </is>
      </c>
      <c r="C40" t="inlineStr">
        <is>
          <t>South Africa</t>
        </is>
      </c>
      <c r="D40" t="n">
        <v>19</v>
      </c>
      <c r="E40" t="inlineStr">
        <is>
          <t>RSA19</t>
        </is>
      </c>
      <c r="F40" t="inlineStr">
        <is>
          <t>Mohau Nkota - South Africa</t>
        </is>
      </c>
      <c r="G40" t="inlineStr">
        <is>
          <t>Base</t>
        </is>
      </c>
      <c r="I40" t="n">
        <v>0</v>
      </c>
    </row>
    <row r="41" ht="20" customHeight="1">
      <c r="A41" t="inlineStr">
        <is>
          <t>Grupo A</t>
        </is>
      </c>
      <c r="B41" t="inlineStr">
        <is>
          <t>RSA</t>
        </is>
      </c>
      <c r="C41" t="inlineStr">
        <is>
          <t>South Africa</t>
        </is>
      </c>
      <c r="D41" t="n">
        <v>20</v>
      </c>
      <c r="E41" t="inlineStr">
        <is>
          <t>RSA20</t>
        </is>
      </c>
      <c r="F41" t="inlineStr">
        <is>
          <t>Oswin Appollis - South Africa</t>
        </is>
      </c>
      <c r="G41" t="inlineStr">
        <is>
          <t>Base</t>
        </is>
      </c>
      <c r="I41" t="n">
        <v>0</v>
      </c>
    </row>
    <row r="42" ht="20" customHeight="1">
      <c r="A42" t="inlineStr">
        <is>
          <t>Grupo A</t>
        </is>
      </c>
      <c r="B42" t="inlineStr">
        <is>
          <t>KOR</t>
        </is>
      </c>
      <c r="C42" t="inlineStr">
        <is>
          <t>South Korea</t>
        </is>
      </c>
      <c r="D42" t="n">
        <v>1</v>
      </c>
      <c r="E42" t="inlineStr">
        <is>
          <t>KOR1</t>
        </is>
      </c>
      <c r="F42" t="inlineStr">
        <is>
          <t>Team Logo - South Korea FOIL</t>
        </is>
      </c>
      <c r="G42" t="inlineStr">
        <is>
          <t>FOIL</t>
        </is>
      </c>
      <c r="I42" t="n">
        <v>0</v>
      </c>
    </row>
    <row r="43" ht="20" customHeight="1">
      <c r="A43" t="inlineStr">
        <is>
          <t>Grupo A</t>
        </is>
      </c>
      <c r="B43" t="inlineStr">
        <is>
          <t>KOR</t>
        </is>
      </c>
      <c r="C43" t="inlineStr">
        <is>
          <t>South Korea</t>
        </is>
      </c>
      <c r="D43" t="n">
        <v>2</v>
      </c>
      <c r="E43" t="inlineStr">
        <is>
          <t>KOR2</t>
        </is>
      </c>
      <c r="F43" t="inlineStr">
        <is>
          <t>Hyeon-woo Jo - South Korea</t>
        </is>
      </c>
      <c r="G43" t="inlineStr">
        <is>
          <t>Base</t>
        </is>
      </c>
      <c r="I43" t="n">
        <v>0</v>
      </c>
    </row>
    <row r="44" ht="20" customHeight="1">
      <c r="A44" t="inlineStr">
        <is>
          <t>Grupo A</t>
        </is>
      </c>
      <c r="B44" t="inlineStr">
        <is>
          <t>KOR</t>
        </is>
      </c>
      <c r="C44" t="inlineStr">
        <is>
          <t>South Korea</t>
        </is>
      </c>
      <c r="D44" t="n">
        <v>3</v>
      </c>
      <c r="E44" t="inlineStr">
        <is>
          <t>KOR3</t>
        </is>
      </c>
      <c r="F44" t="inlineStr">
        <is>
          <t>Seung-Gyu Kim - South Korea</t>
        </is>
      </c>
      <c r="G44" t="inlineStr">
        <is>
          <t>Base</t>
        </is>
      </c>
      <c r="I44" t="n">
        <v>0</v>
      </c>
    </row>
    <row r="45" ht="20" customHeight="1">
      <c r="A45" t="inlineStr">
        <is>
          <t>Grupo A</t>
        </is>
      </c>
      <c r="B45" t="inlineStr">
        <is>
          <t>KOR</t>
        </is>
      </c>
      <c r="C45" t="inlineStr">
        <is>
          <t>South Korea</t>
        </is>
      </c>
      <c r="D45" t="n">
        <v>4</v>
      </c>
      <c r="E45" t="inlineStr">
        <is>
          <t>KOR4</t>
        </is>
      </c>
      <c r="F45" t="inlineStr">
        <is>
          <t>Min-jae Kim - South Korea</t>
        </is>
      </c>
      <c r="G45" t="inlineStr">
        <is>
          <t>Base</t>
        </is>
      </c>
      <c r="I45" t="n">
        <v>0</v>
      </c>
    </row>
    <row r="46" ht="20" customHeight="1">
      <c r="A46" t="inlineStr">
        <is>
          <t>Grupo A</t>
        </is>
      </c>
      <c r="B46" t="inlineStr">
        <is>
          <t>KOR</t>
        </is>
      </c>
      <c r="C46" t="inlineStr">
        <is>
          <t>South Korea</t>
        </is>
      </c>
      <c r="D46" t="n">
        <v>5</v>
      </c>
      <c r="E46" t="inlineStr">
        <is>
          <t>KOR5</t>
        </is>
      </c>
      <c r="F46" t="inlineStr">
        <is>
          <t>Yu-min Cho - South Korea</t>
        </is>
      </c>
      <c r="G46" t="inlineStr">
        <is>
          <t>Base</t>
        </is>
      </c>
      <c r="I46" t="n">
        <v>0</v>
      </c>
    </row>
    <row r="47" ht="20" customHeight="1">
      <c r="A47" t="inlineStr">
        <is>
          <t>Grupo A</t>
        </is>
      </c>
      <c r="B47" t="inlineStr">
        <is>
          <t>KOR</t>
        </is>
      </c>
      <c r="C47" t="inlineStr">
        <is>
          <t>South Korea</t>
        </is>
      </c>
      <c r="D47" t="n">
        <v>6</v>
      </c>
      <c r="E47" t="inlineStr">
        <is>
          <t>KOR6</t>
        </is>
      </c>
      <c r="F47" t="inlineStr">
        <is>
          <t>Young-woo Seol - South Korea</t>
        </is>
      </c>
      <c r="G47" t="inlineStr">
        <is>
          <t>Base</t>
        </is>
      </c>
      <c r="I47" t="n">
        <v>0</v>
      </c>
    </row>
    <row r="48" ht="20" customHeight="1">
      <c r="A48" t="inlineStr">
        <is>
          <t>Grupo A</t>
        </is>
      </c>
      <c r="B48" t="inlineStr">
        <is>
          <t>KOR</t>
        </is>
      </c>
      <c r="C48" t="inlineStr">
        <is>
          <t>South Korea</t>
        </is>
      </c>
      <c r="D48" t="n">
        <v>7</v>
      </c>
      <c r="E48" t="inlineStr">
        <is>
          <t>KOR7</t>
        </is>
      </c>
      <c r="F48" t="inlineStr">
        <is>
          <t>Han-beom Lee - South Korea</t>
        </is>
      </c>
      <c r="G48" t="inlineStr">
        <is>
          <t>Base</t>
        </is>
      </c>
      <c r="I48" t="n">
        <v>0</v>
      </c>
    </row>
    <row r="49" ht="20" customHeight="1">
      <c r="A49" t="inlineStr">
        <is>
          <t>Grupo A</t>
        </is>
      </c>
      <c r="B49" t="inlineStr">
        <is>
          <t>KOR</t>
        </is>
      </c>
      <c r="C49" t="inlineStr">
        <is>
          <t>South Korea</t>
        </is>
      </c>
      <c r="D49" t="n">
        <v>8</v>
      </c>
      <c r="E49" t="inlineStr">
        <is>
          <t>KOR8</t>
        </is>
      </c>
      <c r="F49" t="inlineStr">
        <is>
          <t>Tae-seok Lee - South Korea</t>
        </is>
      </c>
      <c r="G49" t="inlineStr">
        <is>
          <t>Base</t>
        </is>
      </c>
      <c r="I49" t="n">
        <v>0</v>
      </c>
    </row>
    <row r="50" ht="20" customHeight="1">
      <c r="A50" t="inlineStr">
        <is>
          <t>Grupo A</t>
        </is>
      </c>
      <c r="B50" t="inlineStr">
        <is>
          <t>KOR</t>
        </is>
      </c>
      <c r="C50" t="inlineStr">
        <is>
          <t>South Korea</t>
        </is>
      </c>
      <c r="D50" t="n">
        <v>9</v>
      </c>
      <c r="E50" t="inlineStr">
        <is>
          <t>KOR9</t>
        </is>
      </c>
      <c r="F50" t="inlineStr">
        <is>
          <t>Myung-jae Lee - South Korea</t>
        </is>
      </c>
      <c r="G50" t="inlineStr">
        <is>
          <t>Base</t>
        </is>
      </c>
      <c r="I50" t="n">
        <v>0</v>
      </c>
    </row>
    <row r="51" ht="20" customHeight="1">
      <c r="A51" t="inlineStr">
        <is>
          <t>Grupo A</t>
        </is>
      </c>
      <c r="B51" t="inlineStr">
        <is>
          <t>KOR</t>
        </is>
      </c>
      <c r="C51" t="inlineStr">
        <is>
          <t>South Korea</t>
        </is>
      </c>
      <c r="D51" t="n">
        <v>10</v>
      </c>
      <c r="E51" t="inlineStr">
        <is>
          <t>KOR10</t>
        </is>
      </c>
      <c r="F51" t="inlineStr">
        <is>
          <t>Jae-sung Lee - South Korea</t>
        </is>
      </c>
      <c r="G51" t="inlineStr">
        <is>
          <t>Base</t>
        </is>
      </c>
      <c r="I51" t="n">
        <v>0</v>
      </c>
    </row>
    <row r="52" ht="20" customHeight="1">
      <c r="A52" t="inlineStr">
        <is>
          <t>Grupo A</t>
        </is>
      </c>
      <c r="B52" t="inlineStr">
        <is>
          <t>KOR</t>
        </is>
      </c>
      <c r="C52" t="inlineStr">
        <is>
          <t>South Korea</t>
        </is>
      </c>
      <c r="D52" t="n">
        <v>11</v>
      </c>
      <c r="E52" t="inlineStr">
        <is>
          <t>KOR11</t>
        </is>
      </c>
      <c r="F52" t="inlineStr">
        <is>
          <t>In-beom Hwang - South Korea</t>
        </is>
      </c>
      <c r="G52" t="inlineStr">
        <is>
          <t>Base</t>
        </is>
      </c>
      <c r="I52" t="n">
        <v>0</v>
      </c>
    </row>
    <row r="53" ht="20" customHeight="1">
      <c r="A53" t="inlineStr">
        <is>
          <t>Grupo A</t>
        </is>
      </c>
      <c r="B53" t="inlineStr">
        <is>
          <t>KOR</t>
        </is>
      </c>
      <c r="C53" t="inlineStr">
        <is>
          <t>South Korea</t>
        </is>
      </c>
      <c r="D53" t="n">
        <v>12</v>
      </c>
      <c r="E53" t="inlineStr">
        <is>
          <t>KOR12</t>
        </is>
      </c>
      <c r="F53" t="inlineStr">
        <is>
          <t>Kang-in Lee - South Korea</t>
        </is>
      </c>
      <c r="G53" t="inlineStr">
        <is>
          <t>Base</t>
        </is>
      </c>
      <c r="I53" t="n">
        <v>0</v>
      </c>
    </row>
    <row r="54" ht="20" customHeight="1">
      <c r="A54" t="inlineStr">
        <is>
          <t>Grupo A</t>
        </is>
      </c>
      <c r="B54" t="inlineStr">
        <is>
          <t>KOR</t>
        </is>
      </c>
      <c r="C54" t="inlineStr">
        <is>
          <t>South Korea</t>
        </is>
      </c>
      <c r="D54" t="n">
        <v>13</v>
      </c>
      <c r="E54" t="inlineStr">
        <is>
          <t>KOR13</t>
        </is>
      </c>
      <c r="F54" t="inlineStr">
        <is>
          <t>Team Photo - South Korea</t>
        </is>
      </c>
      <c r="G54" t="inlineStr">
        <is>
          <t>Base</t>
        </is>
      </c>
      <c r="I54" t="n">
        <v>0</v>
      </c>
    </row>
    <row r="55" ht="20" customHeight="1">
      <c r="A55" t="inlineStr">
        <is>
          <t>Grupo A</t>
        </is>
      </c>
      <c r="B55" t="inlineStr">
        <is>
          <t>KOR</t>
        </is>
      </c>
      <c r="C55" t="inlineStr">
        <is>
          <t>South Korea</t>
        </is>
      </c>
      <c r="D55" t="n">
        <v>14</v>
      </c>
      <c r="E55" t="inlineStr">
        <is>
          <t>KOR14</t>
        </is>
      </c>
      <c r="F55" t="inlineStr">
        <is>
          <t>Seung-ho Paik - South Korea</t>
        </is>
      </c>
      <c r="G55" t="inlineStr">
        <is>
          <t>Base</t>
        </is>
      </c>
      <c r="I55" t="n">
        <v>0</v>
      </c>
    </row>
    <row r="56" ht="20" customHeight="1">
      <c r="A56" t="inlineStr">
        <is>
          <t>Grupo A</t>
        </is>
      </c>
      <c r="B56" t="inlineStr">
        <is>
          <t>KOR</t>
        </is>
      </c>
      <c r="C56" t="inlineStr">
        <is>
          <t>South Korea</t>
        </is>
      </c>
      <c r="D56" t="n">
        <v>15</v>
      </c>
      <c r="E56" t="inlineStr">
        <is>
          <t>KOR15</t>
        </is>
      </c>
      <c r="F56" t="inlineStr">
        <is>
          <t>Jens Castrop - South Korea</t>
        </is>
      </c>
      <c r="G56" t="inlineStr">
        <is>
          <t>Base</t>
        </is>
      </c>
      <c r="I56" t="n">
        <v>0</v>
      </c>
    </row>
    <row r="57" ht="20" customHeight="1">
      <c r="A57" t="inlineStr">
        <is>
          <t>Grupo A</t>
        </is>
      </c>
      <c r="B57" t="inlineStr">
        <is>
          <t>KOR</t>
        </is>
      </c>
      <c r="C57" t="inlineStr">
        <is>
          <t>South Korea</t>
        </is>
      </c>
      <c r="D57" t="n">
        <v>16</v>
      </c>
      <c r="E57" t="inlineStr">
        <is>
          <t>KOR16</t>
        </is>
      </c>
      <c r="F57" t="inlineStr">
        <is>
          <t>Dongg-yeong Lee - South Korea</t>
        </is>
      </c>
      <c r="G57" t="inlineStr">
        <is>
          <t>Base</t>
        </is>
      </c>
      <c r="I57" t="n">
        <v>0</v>
      </c>
    </row>
    <row r="58" ht="20" customHeight="1">
      <c r="A58" t="inlineStr">
        <is>
          <t>Grupo A</t>
        </is>
      </c>
      <c r="B58" t="inlineStr">
        <is>
          <t>KOR</t>
        </is>
      </c>
      <c r="C58" t="inlineStr">
        <is>
          <t>South Korea</t>
        </is>
      </c>
      <c r="D58" t="n">
        <v>17</v>
      </c>
      <c r="E58" t="inlineStr">
        <is>
          <t>KOR17</t>
        </is>
      </c>
      <c r="F58" t="inlineStr">
        <is>
          <t>Gue-sung Cho - South Korea</t>
        </is>
      </c>
      <c r="G58" t="inlineStr">
        <is>
          <t>Base</t>
        </is>
      </c>
      <c r="I58" t="n">
        <v>0</v>
      </c>
    </row>
    <row r="59" ht="20" customHeight="1">
      <c r="A59" t="inlineStr">
        <is>
          <t>Grupo A</t>
        </is>
      </c>
      <c r="B59" t="inlineStr">
        <is>
          <t>KOR</t>
        </is>
      </c>
      <c r="C59" t="inlineStr">
        <is>
          <t>South Korea</t>
        </is>
      </c>
      <c r="D59" t="n">
        <v>18</v>
      </c>
      <c r="E59" t="inlineStr">
        <is>
          <t>KOR18</t>
        </is>
      </c>
      <c r="F59" t="inlineStr">
        <is>
          <t>Heung-min Son - South Korea</t>
        </is>
      </c>
      <c r="G59" t="inlineStr">
        <is>
          <t>Base</t>
        </is>
      </c>
      <c r="I59" t="n">
        <v>0</v>
      </c>
    </row>
    <row r="60" ht="20" customHeight="1">
      <c r="A60" t="inlineStr">
        <is>
          <t>Grupo A</t>
        </is>
      </c>
      <c r="B60" t="inlineStr">
        <is>
          <t>KOR</t>
        </is>
      </c>
      <c r="C60" t="inlineStr">
        <is>
          <t>South Korea</t>
        </is>
      </c>
      <c r="D60" t="n">
        <v>19</v>
      </c>
      <c r="E60" t="inlineStr">
        <is>
          <t>KOR19</t>
        </is>
      </c>
      <c r="F60" t="inlineStr">
        <is>
          <t>Hee-chan Hwang - South Korea</t>
        </is>
      </c>
      <c r="G60" t="inlineStr">
        <is>
          <t>Base</t>
        </is>
      </c>
      <c r="I60" t="n">
        <v>0</v>
      </c>
    </row>
    <row r="61" ht="20" customHeight="1">
      <c r="A61" t="inlineStr">
        <is>
          <t>Grupo A</t>
        </is>
      </c>
      <c r="B61" t="inlineStr">
        <is>
          <t>KOR</t>
        </is>
      </c>
      <c r="C61" t="inlineStr">
        <is>
          <t>South Korea</t>
        </is>
      </c>
      <c r="D61" t="n">
        <v>20</v>
      </c>
      <c r="E61" t="inlineStr">
        <is>
          <t>KOR20</t>
        </is>
      </c>
      <c r="F61" t="inlineStr">
        <is>
          <t>Hyeon-Gyu Oh - South Korea</t>
        </is>
      </c>
      <c r="G61" t="inlineStr">
        <is>
          <t>Base</t>
        </is>
      </c>
      <c r="I61" t="n">
        <v>0</v>
      </c>
    </row>
    <row r="62" ht="20" customHeight="1">
      <c r="A62" t="inlineStr">
        <is>
          <t>Grupo A</t>
        </is>
      </c>
      <c r="B62" t="inlineStr">
        <is>
          <t>CZE</t>
        </is>
      </c>
      <c r="C62" t="inlineStr">
        <is>
          <t>Czechia</t>
        </is>
      </c>
      <c r="D62" t="n">
        <v>1</v>
      </c>
      <c r="E62" t="inlineStr">
        <is>
          <t>CZE1</t>
        </is>
      </c>
      <c r="F62" t="inlineStr">
        <is>
          <t>Team Logo - Czechia FOIL</t>
        </is>
      </c>
      <c r="G62" t="inlineStr">
        <is>
          <t>FOIL</t>
        </is>
      </c>
      <c r="I62" t="n">
        <v>0</v>
      </c>
    </row>
    <row r="63" ht="20" customHeight="1">
      <c r="A63" t="inlineStr">
        <is>
          <t>Grupo A</t>
        </is>
      </c>
      <c r="B63" t="inlineStr">
        <is>
          <t>CZE</t>
        </is>
      </c>
      <c r="C63" t="inlineStr">
        <is>
          <t>Czechia</t>
        </is>
      </c>
      <c r="D63" t="n">
        <v>2</v>
      </c>
      <c r="E63" t="inlineStr">
        <is>
          <t>CZE2</t>
        </is>
      </c>
      <c r="F63" t="inlineStr">
        <is>
          <t>Matej Kovar - Czechia</t>
        </is>
      </c>
      <c r="G63" t="inlineStr">
        <is>
          <t>Base</t>
        </is>
      </c>
      <c r="I63" t="n">
        <v>0</v>
      </c>
    </row>
    <row r="64" ht="20" customHeight="1">
      <c r="A64" t="inlineStr">
        <is>
          <t>Grupo A</t>
        </is>
      </c>
      <c r="B64" t="inlineStr">
        <is>
          <t>CZE</t>
        </is>
      </c>
      <c r="C64" t="inlineStr">
        <is>
          <t>Czechia</t>
        </is>
      </c>
      <c r="D64" t="n">
        <v>3</v>
      </c>
      <c r="E64" t="inlineStr">
        <is>
          <t>CZE3</t>
        </is>
      </c>
      <c r="F64" t="inlineStr">
        <is>
          <t>Jindrich Stanek - Czechia</t>
        </is>
      </c>
      <c r="G64" t="inlineStr">
        <is>
          <t>Base</t>
        </is>
      </c>
      <c r="I64" t="n">
        <v>0</v>
      </c>
    </row>
    <row r="65" ht="20" customHeight="1">
      <c r="A65" t="inlineStr">
        <is>
          <t>Grupo A</t>
        </is>
      </c>
      <c r="B65" t="inlineStr">
        <is>
          <t>CZE</t>
        </is>
      </c>
      <c r="C65" t="inlineStr">
        <is>
          <t>Czechia</t>
        </is>
      </c>
      <c r="D65" t="n">
        <v>4</v>
      </c>
      <c r="E65" t="inlineStr">
        <is>
          <t>CZE4</t>
        </is>
      </c>
      <c r="F65" t="inlineStr">
        <is>
          <t>Ladislav Krejci - Czechia</t>
        </is>
      </c>
      <c r="G65" t="inlineStr">
        <is>
          <t>Base</t>
        </is>
      </c>
      <c r="I65" t="n">
        <v>0</v>
      </c>
    </row>
    <row r="66" ht="20" customHeight="1">
      <c r="A66" t="inlineStr">
        <is>
          <t>Grupo A</t>
        </is>
      </c>
      <c r="B66" t="inlineStr">
        <is>
          <t>CZE</t>
        </is>
      </c>
      <c r="C66" t="inlineStr">
        <is>
          <t>Czechia</t>
        </is>
      </c>
      <c r="D66" t="n">
        <v>5</v>
      </c>
      <c r="E66" t="inlineStr">
        <is>
          <t>CZE5</t>
        </is>
      </c>
      <c r="F66" t="inlineStr">
        <is>
          <t>Vladimir Coufal - Czechia</t>
        </is>
      </c>
      <c r="G66" t="inlineStr">
        <is>
          <t>Base</t>
        </is>
      </c>
      <c r="I66" t="n">
        <v>0</v>
      </c>
    </row>
    <row r="67" ht="20" customHeight="1">
      <c r="A67" t="inlineStr">
        <is>
          <t>Grupo A</t>
        </is>
      </c>
      <c r="B67" t="inlineStr">
        <is>
          <t>CZE</t>
        </is>
      </c>
      <c r="C67" t="inlineStr">
        <is>
          <t>Czechia</t>
        </is>
      </c>
      <c r="D67" t="n">
        <v>6</v>
      </c>
      <c r="E67" t="inlineStr">
        <is>
          <t>CZE6</t>
        </is>
      </c>
      <c r="F67" t="inlineStr">
        <is>
          <t>Jaroslav Zeleny - Czechia</t>
        </is>
      </c>
      <c r="G67" t="inlineStr">
        <is>
          <t>Base</t>
        </is>
      </c>
      <c r="I67" t="n">
        <v>0</v>
      </c>
    </row>
    <row r="68" ht="20" customHeight="1">
      <c r="A68" t="inlineStr">
        <is>
          <t>Grupo A</t>
        </is>
      </c>
      <c r="B68" t="inlineStr">
        <is>
          <t>CZE</t>
        </is>
      </c>
      <c r="C68" t="inlineStr">
        <is>
          <t>Czechia</t>
        </is>
      </c>
      <c r="D68" t="n">
        <v>7</v>
      </c>
      <c r="E68" t="inlineStr">
        <is>
          <t>CZE7</t>
        </is>
      </c>
      <c r="F68" t="inlineStr">
        <is>
          <t>Tomas Holes - Czechia</t>
        </is>
      </c>
      <c r="G68" t="inlineStr">
        <is>
          <t>Base</t>
        </is>
      </c>
      <c r="I68" t="n">
        <v>0</v>
      </c>
    </row>
    <row r="69" ht="20" customHeight="1">
      <c r="A69" t="inlineStr">
        <is>
          <t>Grupo A</t>
        </is>
      </c>
      <c r="B69" t="inlineStr">
        <is>
          <t>CZE</t>
        </is>
      </c>
      <c r="C69" t="inlineStr">
        <is>
          <t>Czechia</t>
        </is>
      </c>
      <c r="D69" t="n">
        <v>8</v>
      </c>
      <c r="E69" t="inlineStr">
        <is>
          <t>CZE8</t>
        </is>
      </c>
      <c r="F69" t="inlineStr">
        <is>
          <t>David Zima - Czechia</t>
        </is>
      </c>
      <c r="G69" t="inlineStr">
        <is>
          <t>Base</t>
        </is>
      </c>
      <c r="I69" t="n">
        <v>0</v>
      </c>
    </row>
    <row r="70" ht="20" customHeight="1">
      <c r="A70" t="inlineStr">
        <is>
          <t>Grupo A</t>
        </is>
      </c>
      <c r="B70" t="inlineStr">
        <is>
          <t>CZE</t>
        </is>
      </c>
      <c r="C70" t="inlineStr">
        <is>
          <t>Czechia</t>
        </is>
      </c>
      <c r="D70" t="n">
        <v>9</v>
      </c>
      <c r="E70" t="inlineStr">
        <is>
          <t>CZE9</t>
        </is>
      </c>
      <c r="F70" t="inlineStr">
        <is>
          <t>Michal Sadilek - Czechia</t>
        </is>
      </c>
      <c r="G70" t="inlineStr">
        <is>
          <t>Base</t>
        </is>
      </c>
      <c r="I70" t="n">
        <v>0</v>
      </c>
    </row>
    <row r="71" ht="20" customHeight="1">
      <c r="A71" t="inlineStr">
        <is>
          <t>Grupo A</t>
        </is>
      </c>
      <c r="B71" t="inlineStr">
        <is>
          <t>CZE</t>
        </is>
      </c>
      <c r="C71" t="inlineStr">
        <is>
          <t>Czechia</t>
        </is>
      </c>
      <c r="D71" t="n">
        <v>10</v>
      </c>
      <c r="E71" t="inlineStr">
        <is>
          <t>CZE10</t>
        </is>
      </c>
      <c r="F71" t="inlineStr">
        <is>
          <t>Lukas Provod - Czechia</t>
        </is>
      </c>
      <c r="G71" t="inlineStr">
        <is>
          <t>Base</t>
        </is>
      </c>
      <c r="I71" t="n">
        <v>0</v>
      </c>
    </row>
    <row r="72" ht="20" customHeight="1">
      <c r="A72" t="inlineStr">
        <is>
          <t>Grupo A</t>
        </is>
      </c>
      <c r="B72" t="inlineStr">
        <is>
          <t>CZE</t>
        </is>
      </c>
      <c r="C72" t="inlineStr">
        <is>
          <t>Czechia</t>
        </is>
      </c>
      <c r="D72" t="n">
        <v>11</v>
      </c>
      <c r="E72" t="inlineStr">
        <is>
          <t>CZE11</t>
        </is>
      </c>
      <c r="F72" t="inlineStr">
        <is>
          <t>Lukas Cerv - Czechia</t>
        </is>
      </c>
      <c r="G72" t="inlineStr">
        <is>
          <t>Base</t>
        </is>
      </c>
      <c r="I72" t="n">
        <v>0</v>
      </c>
    </row>
    <row r="73" ht="20" customHeight="1">
      <c r="A73" t="inlineStr">
        <is>
          <t>Grupo A</t>
        </is>
      </c>
      <c r="B73" t="inlineStr">
        <is>
          <t>CZE</t>
        </is>
      </c>
      <c r="C73" t="inlineStr">
        <is>
          <t>Czechia</t>
        </is>
      </c>
      <c r="D73" t="n">
        <v>12</v>
      </c>
      <c r="E73" t="inlineStr">
        <is>
          <t>CZE12</t>
        </is>
      </c>
      <c r="F73" t="inlineStr">
        <is>
          <t>Tomas Soucek - Czechia</t>
        </is>
      </c>
      <c r="G73" t="inlineStr">
        <is>
          <t>Base</t>
        </is>
      </c>
      <c r="I73" t="n">
        <v>0</v>
      </c>
    </row>
    <row r="74" ht="20" customHeight="1">
      <c r="A74" t="inlineStr">
        <is>
          <t>Grupo A</t>
        </is>
      </c>
      <c r="B74" t="inlineStr">
        <is>
          <t>CZE</t>
        </is>
      </c>
      <c r="C74" t="inlineStr">
        <is>
          <t>Czechia</t>
        </is>
      </c>
      <c r="D74" t="n">
        <v>13</v>
      </c>
      <c r="E74" t="inlineStr">
        <is>
          <t>CZE13</t>
        </is>
      </c>
      <c r="F74" t="inlineStr">
        <is>
          <t>Team Photo - Czechia</t>
        </is>
      </c>
      <c r="G74" t="inlineStr">
        <is>
          <t>Base</t>
        </is>
      </c>
      <c r="I74" t="n">
        <v>0</v>
      </c>
    </row>
    <row r="75" ht="20" customHeight="1">
      <c r="A75" t="inlineStr">
        <is>
          <t>Grupo A</t>
        </is>
      </c>
      <c r="B75" t="inlineStr">
        <is>
          <t>CZE</t>
        </is>
      </c>
      <c r="C75" t="inlineStr">
        <is>
          <t>Czechia</t>
        </is>
      </c>
      <c r="D75" t="n">
        <v>14</v>
      </c>
      <c r="E75" t="inlineStr">
        <is>
          <t>CZE14</t>
        </is>
      </c>
      <c r="F75" t="inlineStr">
        <is>
          <t>Pavel Sulc - Czechia</t>
        </is>
      </c>
      <c r="G75" t="inlineStr">
        <is>
          <t>Base</t>
        </is>
      </c>
      <c r="I75" t="n">
        <v>0</v>
      </c>
    </row>
    <row r="76" ht="20" customHeight="1">
      <c r="A76" t="inlineStr">
        <is>
          <t>Grupo A</t>
        </is>
      </c>
      <c r="B76" t="inlineStr">
        <is>
          <t>CZE</t>
        </is>
      </c>
      <c r="C76" t="inlineStr">
        <is>
          <t>Czechia</t>
        </is>
      </c>
      <c r="D76" t="n">
        <v>15</v>
      </c>
      <c r="E76" t="inlineStr">
        <is>
          <t>CZE15</t>
        </is>
      </c>
      <c r="F76" t="inlineStr">
        <is>
          <t>Matej Vydra - Czechia</t>
        </is>
      </c>
      <c r="G76" t="inlineStr">
        <is>
          <t>Base</t>
        </is>
      </c>
      <c r="I76" t="n">
        <v>0</v>
      </c>
    </row>
    <row r="77" ht="20" customHeight="1">
      <c r="A77" t="inlineStr">
        <is>
          <t>Grupo A</t>
        </is>
      </c>
      <c r="B77" t="inlineStr">
        <is>
          <t>CZE</t>
        </is>
      </c>
      <c r="C77" t="inlineStr">
        <is>
          <t>Czechia</t>
        </is>
      </c>
      <c r="D77" t="n">
        <v>16</v>
      </c>
      <c r="E77" t="inlineStr">
        <is>
          <t>CZE16</t>
        </is>
      </c>
      <c r="F77" t="inlineStr">
        <is>
          <t>Vasil Kusej - Czechia</t>
        </is>
      </c>
      <c r="G77" t="inlineStr">
        <is>
          <t>Base</t>
        </is>
      </c>
      <c r="I77" t="n">
        <v>0</v>
      </c>
    </row>
    <row r="78" ht="20" customHeight="1">
      <c r="A78" t="inlineStr">
        <is>
          <t>Grupo A</t>
        </is>
      </c>
      <c r="B78" t="inlineStr">
        <is>
          <t>CZE</t>
        </is>
      </c>
      <c r="C78" t="inlineStr">
        <is>
          <t>Czechia</t>
        </is>
      </c>
      <c r="D78" t="n">
        <v>17</v>
      </c>
      <c r="E78" t="inlineStr">
        <is>
          <t>CZE17</t>
        </is>
      </c>
      <c r="F78" t="inlineStr">
        <is>
          <t>Tomas Chory - Czechia</t>
        </is>
      </c>
      <c r="G78" t="inlineStr">
        <is>
          <t>Base</t>
        </is>
      </c>
      <c r="I78" t="n">
        <v>0</v>
      </c>
    </row>
    <row r="79" ht="20" customHeight="1">
      <c r="A79" t="inlineStr">
        <is>
          <t>Grupo A</t>
        </is>
      </c>
      <c r="B79" t="inlineStr">
        <is>
          <t>CZE</t>
        </is>
      </c>
      <c r="C79" t="inlineStr">
        <is>
          <t>Czechia</t>
        </is>
      </c>
      <c r="D79" t="n">
        <v>18</v>
      </c>
      <c r="E79" t="inlineStr">
        <is>
          <t>CZE18</t>
        </is>
      </c>
      <c r="F79" t="inlineStr">
        <is>
          <t>Vaclav Cerny - Czechia</t>
        </is>
      </c>
      <c r="G79" t="inlineStr">
        <is>
          <t>Base</t>
        </is>
      </c>
      <c r="I79" t="n">
        <v>0</v>
      </c>
    </row>
    <row r="80" ht="20" customHeight="1">
      <c r="A80" t="inlineStr">
        <is>
          <t>Grupo A</t>
        </is>
      </c>
      <c r="B80" t="inlineStr">
        <is>
          <t>CZE</t>
        </is>
      </c>
      <c r="C80" t="inlineStr">
        <is>
          <t>Czechia</t>
        </is>
      </c>
      <c r="D80" t="n">
        <v>19</v>
      </c>
      <c r="E80" t="inlineStr">
        <is>
          <t>CZE19</t>
        </is>
      </c>
      <c r="F80" t="inlineStr">
        <is>
          <t>Adam Hlozek - Czechia</t>
        </is>
      </c>
      <c r="G80" t="inlineStr">
        <is>
          <t>Base</t>
        </is>
      </c>
      <c r="I80" t="n">
        <v>0</v>
      </c>
    </row>
    <row r="81" ht="20" customHeight="1">
      <c r="A81" t="inlineStr">
        <is>
          <t>Grupo A</t>
        </is>
      </c>
      <c r="B81" t="inlineStr">
        <is>
          <t>CZE</t>
        </is>
      </c>
      <c r="C81" t="inlineStr">
        <is>
          <t>Czechia</t>
        </is>
      </c>
      <c r="D81" t="n">
        <v>20</v>
      </c>
      <c r="E81" t="inlineStr">
        <is>
          <t>CZE20</t>
        </is>
      </c>
      <c r="F81" t="inlineStr">
        <is>
          <t>Patrik Schick - Czechia</t>
        </is>
      </c>
      <c r="G81" t="inlineStr">
        <is>
          <t>Base</t>
        </is>
      </c>
      <c r="I81" t="n">
        <v>0</v>
      </c>
    </row>
    <row r="82" ht="20" customHeight="1">
      <c r="A82" t="inlineStr">
        <is>
          <t>Grupo B</t>
        </is>
      </c>
      <c r="B82" t="inlineStr">
        <is>
          <t>CAN</t>
        </is>
      </c>
      <c r="C82" t="inlineStr">
        <is>
          <t>Canada</t>
        </is>
      </c>
      <c r="D82" t="n">
        <v>1</v>
      </c>
      <c r="E82" t="inlineStr">
        <is>
          <t>CAN1</t>
        </is>
      </c>
      <c r="F82" t="inlineStr">
        <is>
          <t>Team Logo - Canada FOIL</t>
        </is>
      </c>
      <c r="G82" t="inlineStr">
        <is>
          <t>FOIL</t>
        </is>
      </c>
      <c r="I82" t="n">
        <v>0</v>
      </c>
    </row>
    <row r="83" ht="20" customHeight="1">
      <c r="A83" t="inlineStr">
        <is>
          <t>Grupo B</t>
        </is>
      </c>
      <c r="B83" t="inlineStr">
        <is>
          <t>CAN</t>
        </is>
      </c>
      <c r="C83" t="inlineStr">
        <is>
          <t>Canada</t>
        </is>
      </c>
      <c r="D83" t="n">
        <v>2</v>
      </c>
      <c r="E83" t="inlineStr">
        <is>
          <t>CAN2</t>
        </is>
      </c>
      <c r="F83" t="inlineStr">
        <is>
          <t>Dayne St.Clair - Canada</t>
        </is>
      </c>
      <c r="G83" t="inlineStr">
        <is>
          <t>Base</t>
        </is>
      </c>
      <c r="I83" t="n">
        <v>0</v>
      </c>
    </row>
    <row r="84" ht="20" customHeight="1">
      <c r="A84" t="inlineStr">
        <is>
          <t>Grupo B</t>
        </is>
      </c>
      <c r="B84" t="inlineStr">
        <is>
          <t>CAN</t>
        </is>
      </c>
      <c r="C84" t="inlineStr">
        <is>
          <t>Canada</t>
        </is>
      </c>
      <c r="D84" t="n">
        <v>3</v>
      </c>
      <c r="E84" t="inlineStr">
        <is>
          <t>CAN3</t>
        </is>
      </c>
      <c r="F84" t="inlineStr">
        <is>
          <t>Alphonso Davies - Canada</t>
        </is>
      </c>
      <c r="G84" t="inlineStr">
        <is>
          <t>Base</t>
        </is>
      </c>
      <c r="I84" t="n">
        <v>0</v>
      </c>
    </row>
    <row r="85" ht="20" customHeight="1">
      <c r="A85" t="inlineStr">
        <is>
          <t>Grupo B</t>
        </is>
      </c>
      <c r="B85" t="inlineStr">
        <is>
          <t>CAN</t>
        </is>
      </c>
      <c r="C85" t="inlineStr">
        <is>
          <t>Canada</t>
        </is>
      </c>
      <c r="D85" t="n">
        <v>4</v>
      </c>
      <c r="E85" t="inlineStr">
        <is>
          <t>CAN4</t>
        </is>
      </c>
      <c r="F85" t="inlineStr">
        <is>
          <t>Alistair Johnston - Canada</t>
        </is>
      </c>
      <c r="G85" t="inlineStr">
        <is>
          <t>Base</t>
        </is>
      </c>
      <c r="I85" t="n">
        <v>0</v>
      </c>
    </row>
    <row r="86" ht="20" customHeight="1">
      <c r="A86" t="inlineStr">
        <is>
          <t>Grupo B</t>
        </is>
      </c>
      <c r="B86" t="inlineStr">
        <is>
          <t>CAN</t>
        </is>
      </c>
      <c r="C86" t="inlineStr">
        <is>
          <t>Canada</t>
        </is>
      </c>
      <c r="D86" t="n">
        <v>5</v>
      </c>
      <c r="E86" t="inlineStr">
        <is>
          <t>CAN5</t>
        </is>
      </c>
      <c r="F86" t="inlineStr">
        <is>
          <t>Samuel Adekugbe - Canada</t>
        </is>
      </c>
      <c r="G86" t="inlineStr">
        <is>
          <t>Base</t>
        </is>
      </c>
      <c r="I86" t="n">
        <v>0</v>
      </c>
    </row>
    <row r="87" ht="20" customHeight="1">
      <c r="A87" t="inlineStr">
        <is>
          <t>Grupo B</t>
        </is>
      </c>
      <c r="B87" t="inlineStr">
        <is>
          <t>CAN</t>
        </is>
      </c>
      <c r="C87" t="inlineStr">
        <is>
          <t>Canada</t>
        </is>
      </c>
      <c r="D87" t="n">
        <v>6</v>
      </c>
      <c r="E87" t="inlineStr">
        <is>
          <t>CAN6</t>
        </is>
      </c>
      <c r="F87" t="inlineStr">
        <is>
          <t>Riche Larvea - Canada</t>
        </is>
      </c>
      <c r="G87" t="inlineStr">
        <is>
          <t>Base</t>
        </is>
      </c>
      <c r="I87" t="n">
        <v>0</v>
      </c>
    </row>
    <row r="88" ht="20" customHeight="1">
      <c r="A88" t="inlineStr">
        <is>
          <t>Grupo B</t>
        </is>
      </c>
      <c r="B88" t="inlineStr">
        <is>
          <t>CAN</t>
        </is>
      </c>
      <c r="C88" t="inlineStr">
        <is>
          <t>Canada</t>
        </is>
      </c>
      <c r="D88" t="n">
        <v>7</v>
      </c>
      <c r="E88" t="inlineStr">
        <is>
          <t>CAN7</t>
        </is>
      </c>
      <c r="F88" t="inlineStr">
        <is>
          <t>Derek Cornelius - Canada</t>
        </is>
      </c>
      <c r="G88" t="inlineStr">
        <is>
          <t>Base</t>
        </is>
      </c>
      <c r="I88" t="n">
        <v>0</v>
      </c>
    </row>
    <row r="89" ht="20" customHeight="1">
      <c r="A89" t="inlineStr">
        <is>
          <t>Grupo B</t>
        </is>
      </c>
      <c r="B89" t="inlineStr">
        <is>
          <t>CAN</t>
        </is>
      </c>
      <c r="C89" t="inlineStr">
        <is>
          <t>Canada</t>
        </is>
      </c>
      <c r="D89" t="n">
        <v>8</v>
      </c>
      <c r="E89" t="inlineStr">
        <is>
          <t>CAN8</t>
        </is>
      </c>
      <c r="F89" t="inlineStr">
        <is>
          <t>Moïse Bombito - Canada</t>
        </is>
      </c>
      <c r="G89" t="inlineStr">
        <is>
          <t>Base</t>
        </is>
      </c>
      <c r="I89" t="n">
        <v>0</v>
      </c>
    </row>
    <row r="90" ht="20" customHeight="1">
      <c r="A90" t="inlineStr">
        <is>
          <t>Grupo B</t>
        </is>
      </c>
      <c r="B90" t="inlineStr">
        <is>
          <t>CAN</t>
        </is>
      </c>
      <c r="C90" t="inlineStr">
        <is>
          <t>Canada</t>
        </is>
      </c>
      <c r="D90" t="n">
        <v>9</v>
      </c>
      <c r="E90" t="inlineStr">
        <is>
          <t>CAN9</t>
        </is>
      </c>
      <c r="F90" t="inlineStr">
        <is>
          <t>Kamal Miller - Canada</t>
        </is>
      </c>
      <c r="G90" t="inlineStr">
        <is>
          <t>Base</t>
        </is>
      </c>
      <c r="I90" t="n">
        <v>0</v>
      </c>
    </row>
    <row r="91" ht="20" customHeight="1">
      <c r="A91" t="inlineStr">
        <is>
          <t>Grupo B</t>
        </is>
      </c>
      <c r="B91" t="inlineStr">
        <is>
          <t>CAN</t>
        </is>
      </c>
      <c r="C91" t="inlineStr">
        <is>
          <t>Canada</t>
        </is>
      </c>
      <c r="D91" t="n">
        <v>10</v>
      </c>
      <c r="E91" t="inlineStr">
        <is>
          <t>CAN10</t>
        </is>
      </c>
      <c r="F91" t="inlineStr">
        <is>
          <t>Stephen Eustáquio - Canada</t>
        </is>
      </c>
      <c r="G91" t="inlineStr">
        <is>
          <t>Base</t>
        </is>
      </c>
      <c r="I91" t="n">
        <v>0</v>
      </c>
    </row>
    <row r="92" ht="20" customHeight="1">
      <c r="A92" t="inlineStr">
        <is>
          <t>Grupo B</t>
        </is>
      </c>
      <c r="B92" t="inlineStr">
        <is>
          <t>CAN</t>
        </is>
      </c>
      <c r="C92" t="inlineStr">
        <is>
          <t>Canada</t>
        </is>
      </c>
      <c r="D92" t="n">
        <v>11</v>
      </c>
      <c r="E92" t="inlineStr">
        <is>
          <t>CAN11</t>
        </is>
      </c>
      <c r="F92" t="inlineStr">
        <is>
          <t>Ismaël Koné - Canada</t>
        </is>
      </c>
      <c r="G92" t="inlineStr">
        <is>
          <t>Base</t>
        </is>
      </c>
      <c r="I92" t="n">
        <v>0</v>
      </c>
    </row>
    <row r="93" ht="20" customHeight="1">
      <c r="A93" t="inlineStr">
        <is>
          <t>Grupo B</t>
        </is>
      </c>
      <c r="B93" t="inlineStr">
        <is>
          <t>CAN</t>
        </is>
      </c>
      <c r="C93" t="inlineStr">
        <is>
          <t>Canada</t>
        </is>
      </c>
      <c r="D93" t="n">
        <v>12</v>
      </c>
      <c r="E93" t="inlineStr">
        <is>
          <t>CAN12</t>
        </is>
      </c>
      <c r="F93" t="inlineStr">
        <is>
          <t>Jonathan Osorio - Canada</t>
        </is>
      </c>
      <c r="G93" t="inlineStr">
        <is>
          <t>Base</t>
        </is>
      </c>
      <c r="I93" t="n">
        <v>0</v>
      </c>
    </row>
    <row r="94" ht="20" customHeight="1">
      <c r="A94" t="inlineStr">
        <is>
          <t>Grupo B</t>
        </is>
      </c>
      <c r="B94" t="inlineStr">
        <is>
          <t>CAN</t>
        </is>
      </c>
      <c r="C94" t="inlineStr">
        <is>
          <t>Canada</t>
        </is>
      </c>
      <c r="D94" t="n">
        <v>13</v>
      </c>
      <c r="E94" t="inlineStr">
        <is>
          <t>CAN13</t>
        </is>
      </c>
      <c r="F94" t="inlineStr">
        <is>
          <t>Team Photo - Canada</t>
        </is>
      </c>
      <c r="G94" t="inlineStr">
        <is>
          <t>Base</t>
        </is>
      </c>
      <c r="I94" t="n">
        <v>0</v>
      </c>
    </row>
    <row r="95" ht="20" customHeight="1">
      <c r="A95" t="inlineStr">
        <is>
          <t>Grupo B</t>
        </is>
      </c>
      <c r="B95" t="inlineStr">
        <is>
          <t>CAN</t>
        </is>
      </c>
      <c r="C95" t="inlineStr">
        <is>
          <t>Canada</t>
        </is>
      </c>
      <c r="D95" t="n">
        <v>14</v>
      </c>
      <c r="E95" t="inlineStr">
        <is>
          <t>CAN14</t>
        </is>
      </c>
      <c r="F95" t="inlineStr">
        <is>
          <t>Jacob Shaffelburg - Canada</t>
        </is>
      </c>
      <c r="G95" t="inlineStr">
        <is>
          <t>Base</t>
        </is>
      </c>
      <c r="I95" t="n">
        <v>0</v>
      </c>
    </row>
    <row r="96" ht="20" customHeight="1">
      <c r="A96" t="inlineStr">
        <is>
          <t>Grupo B</t>
        </is>
      </c>
      <c r="B96" t="inlineStr">
        <is>
          <t>CAN</t>
        </is>
      </c>
      <c r="C96" t="inlineStr">
        <is>
          <t>Canada</t>
        </is>
      </c>
      <c r="D96" t="n">
        <v>15</v>
      </c>
      <c r="E96" t="inlineStr">
        <is>
          <t>CAN15</t>
        </is>
      </c>
      <c r="F96" t="inlineStr">
        <is>
          <t>Mathieu Choinière - Canada</t>
        </is>
      </c>
      <c r="G96" t="inlineStr">
        <is>
          <t>Base</t>
        </is>
      </c>
      <c r="I96" t="n">
        <v>0</v>
      </c>
    </row>
    <row r="97" ht="20" customHeight="1">
      <c r="A97" t="inlineStr">
        <is>
          <t>Grupo B</t>
        </is>
      </c>
      <c r="B97" t="inlineStr">
        <is>
          <t>CAN</t>
        </is>
      </c>
      <c r="C97" t="inlineStr">
        <is>
          <t>Canada</t>
        </is>
      </c>
      <c r="D97" t="n">
        <v>16</v>
      </c>
      <c r="E97" t="inlineStr">
        <is>
          <t>CAN16</t>
        </is>
      </c>
      <c r="F97" t="inlineStr">
        <is>
          <t>Niko Sigur - Canada</t>
        </is>
      </c>
      <c r="G97" t="inlineStr">
        <is>
          <t>Base</t>
        </is>
      </c>
      <c r="I97" t="n">
        <v>0</v>
      </c>
    </row>
    <row r="98" ht="20" customHeight="1">
      <c r="A98" t="inlineStr">
        <is>
          <t>Grupo B</t>
        </is>
      </c>
      <c r="B98" t="inlineStr">
        <is>
          <t>CAN</t>
        </is>
      </c>
      <c r="C98" t="inlineStr">
        <is>
          <t>Canada</t>
        </is>
      </c>
      <c r="D98" t="n">
        <v>17</v>
      </c>
      <c r="E98" t="inlineStr">
        <is>
          <t>CAN17</t>
        </is>
      </c>
      <c r="F98" t="inlineStr">
        <is>
          <t>Tajon Buchanan - Canada</t>
        </is>
      </c>
      <c r="G98" t="inlineStr">
        <is>
          <t>Base</t>
        </is>
      </c>
      <c r="I98" t="n">
        <v>0</v>
      </c>
    </row>
    <row r="99" ht="20" customHeight="1">
      <c r="A99" t="inlineStr">
        <is>
          <t>Grupo B</t>
        </is>
      </c>
      <c r="B99" t="inlineStr">
        <is>
          <t>CAN</t>
        </is>
      </c>
      <c r="C99" t="inlineStr">
        <is>
          <t>Canada</t>
        </is>
      </c>
      <c r="D99" t="n">
        <v>18</v>
      </c>
      <c r="E99" t="inlineStr">
        <is>
          <t>CAN18</t>
        </is>
      </c>
      <c r="F99" t="inlineStr">
        <is>
          <t>Liam Millar - Canada</t>
        </is>
      </c>
      <c r="G99" t="inlineStr">
        <is>
          <t>Base</t>
        </is>
      </c>
      <c r="I99" t="n">
        <v>0</v>
      </c>
    </row>
    <row r="100" ht="20" customHeight="1">
      <c r="A100" t="inlineStr">
        <is>
          <t>Grupo B</t>
        </is>
      </c>
      <c r="B100" t="inlineStr">
        <is>
          <t>CAN</t>
        </is>
      </c>
      <c r="C100" t="inlineStr">
        <is>
          <t>Canada</t>
        </is>
      </c>
      <c r="D100" t="n">
        <v>19</v>
      </c>
      <c r="E100" t="inlineStr">
        <is>
          <t>CAN19</t>
        </is>
      </c>
      <c r="F100" t="inlineStr">
        <is>
          <t>Cyle Larin - Canada</t>
        </is>
      </c>
      <c r="G100" t="inlineStr">
        <is>
          <t>Base</t>
        </is>
      </c>
      <c r="I100" t="n">
        <v>0</v>
      </c>
    </row>
    <row r="101" ht="20" customHeight="1">
      <c r="A101" t="inlineStr">
        <is>
          <t>Grupo B</t>
        </is>
      </c>
      <c r="B101" t="inlineStr">
        <is>
          <t>CAN</t>
        </is>
      </c>
      <c r="C101" t="inlineStr">
        <is>
          <t>Canada</t>
        </is>
      </c>
      <c r="D101" t="n">
        <v>20</v>
      </c>
      <c r="E101" t="inlineStr">
        <is>
          <t>CAN20</t>
        </is>
      </c>
      <c r="F101" t="inlineStr">
        <is>
          <t>Jonathan David - Canada</t>
        </is>
      </c>
      <c r="G101" t="inlineStr">
        <is>
          <t>Base</t>
        </is>
      </c>
      <c r="I101" t="n">
        <v>0</v>
      </c>
    </row>
    <row r="102" ht="20" customHeight="1">
      <c r="A102" t="inlineStr">
        <is>
          <t>Grupo B</t>
        </is>
      </c>
      <c r="B102" t="inlineStr">
        <is>
          <t>BIH</t>
        </is>
      </c>
      <c r="C102" t="inlineStr">
        <is>
          <t>Bosnia and Herzegovina</t>
        </is>
      </c>
      <c r="D102" t="n">
        <v>1</v>
      </c>
      <c r="E102" t="inlineStr">
        <is>
          <t>BIH1</t>
        </is>
      </c>
      <c r="F102" t="inlineStr">
        <is>
          <t>Team Logo - Bosnia and Herzegovina FOIL</t>
        </is>
      </c>
      <c r="G102" t="inlineStr">
        <is>
          <t>FOIL</t>
        </is>
      </c>
      <c r="I102" t="n">
        <v>0</v>
      </c>
    </row>
    <row r="103" ht="20" customHeight="1">
      <c r="A103" t="inlineStr">
        <is>
          <t>Grupo B</t>
        </is>
      </c>
      <c r="B103" t="inlineStr">
        <is>
          <t>BIH</t>
        </is>
      </c>
      <c r="C103" t="inlineStr">
        <is>
          <t>Bosnia and Herzegovina</t>
        </is>
      </c>
      <c r="D103" t="n">
        <v>2</v>
      </c>
      <c r="E103" t="inlineStr">
        <is>
          <t>BIH2</t>
        </is>
      </c>
      <c r="F103" t="inlineStr">
        <is>
          <t>Nikola Vasilj - Bosnia and Herzegovina</t>
        </is>
      </c>
      <c r="G103" t="inlineStr">
        <is>
          <t>Base</t>
        </is>
      </c>
      <c r="I103" t="n">
        <v>0</v>
      </c>
    </row>
    <row r="104" ht="20" customHeight="1">
      <c r="A104" t="inlineStr">
        <is>
          <t>Grupo B</t>
        </is>
      </c>
      <c r="B104" t="inlineStr">
        <is>
          <t>BIH</t>
        </is>
      </c>
      <c r="C104" t="inlineStr">
        <is>
          <t>Bosnia and Herzegovina</t>
        </is>
      </c>
      <c r="D104" t="n">
        <v>3</v>
      </c>
      <c r="E104" t="inlineStr">
        <is>
          <t>BIH3</t>
        </is>
      </c>
      <c r="F104" t="inlineStr">
        <is>
          <t>Amer Dedic - Bosnia and Herzegovina</t>
        </is>
      </c>
      <c r="G104" t="inlineStr">
        <is>
          <t>Base</t>
        </is>
      </c>
      <c r="I104" t="n">
        <v>0</v>
      </c>
    </row>
    <row r="105" ht="20" customHeight="1">
      <c r="A105" t="inlineStr">
        <is>
          <t>Grupo B</t>
        </is>
      </c>
      <c r="B105" t="inlineStr">
        <is>
          <t>BIH</t>
        </is>
      </c>
      <c r="C105" t="inlineStr">
        <is>
          <t>Bosnia and Herzegovina</t>
        </is>
      </c>
      <c r="D105" t="n">
        <v>4</v>
      </c>
      <c r="E105" t="inlineStr">
        <is>
          <t>BIH4</t>
        </is>
      </c>
      <c r="F105" t="inlineStr">
        <is>
          <t>Sead Kolasinac - Bosnia and Herzegovina</t>
        </is>
      </c>
      <c r="G105" t="inlineStr">
        <is>
          <t>Base</t>
        </is>
      </c>
      <c r="I105" t="n">
        <v>0</v>
      </c>
    </row>
    <row r="106" ht="20" customHeight="1">
      <c r="A106" t="inlineStr">
        <is>
          <t>Grupo B</t>
        </is>
      </c>
      <c r="B106" t="inlineStr">
        <is>
          <t>BIH</t>
        </is>
      </c>
      <c r="C106" t="inlineStr">
        <is>
          <t>Bosnia and Herzegovina</t>
        </is>
      </c>
      <c r="D106" t="n">
        <v>5</v>
      </c>
      <c r="E106" t="inlineStr">
        <is>
          <t>BIH5</t>
        </is>
      </c>
      <c r="F106" t="inlineStr">
        <is>
          <t>Tarik Muharemovic - Bosnia and Herzegovina</t>
        </is>
      </c>
      <c r="G106" t="inlineStr">
        <is>
          <t>Base</t>
        </is>
      </c>
      <c r="I106" t="n">
        <v>0</v>
      </c>
    </row>
    <row r="107" ht="20" customHeight="1">
      <c r="A107" t="inlineStr">
        <is>
          <t>Grupo B</t>
        </is>
      </c>
      <c r="B107" t="inlineStr">
        <is>
          <t>BIH</t>
        </is>
      </c>
      <c r="C107" t="inlineStr">
        <is>
          <t>Bosnia and Herzegovina</t>
        </is>
      </c>
      <c r="D107" t="n">
        <v>6</v>
      </c>
      <c r="E107" t="inlineStr">
        <is>
          <t>BIH6</t>
        </is>
      </c>
      <c r="F107" t="inlineStr">
        <is>
          <t>Nihad Mujakic - Bosnia and Herzegovina</t>
        </is>
      </c>
      <c r="G107" t="inlineStr">
        <is>
          <t>Base</t>
        </is>
      </c>
      <c r="I107" t="n">
        <v>0</v>
      </c>
    </row>
    <row r="108" ht="20" customHeight="1">
      <c r="A108" t="inlineStr">
        <is>
          <t>Grupo B</t>
        </is>
      </c>
      <c r="B108" t="inlineStr">
        <is>
          <t>BIH</t>
        </is>
      </c>
      <c r="C108" t="inlineStr">
        <is>
          <t>Bosnia and Herzegovina</t>
        </is>
      </c>
      <c r="D108" t="n">
        <v>7</v>
      </c>
      <c r="E108" t="inlineStr">
        <is>
          <t>BIH7</t>
        </is>
      </c>
      <c r="F108" t="inlineStr">
        <is>
          <t>Nikola Katic - Bosnia and Herzegovina</t>
        </is>
      </c>
      <c r="G108" t="inlineStr">
        <is>
          <t>Base</t>
        </is>
      </c>
      <c r="I108" t="n">
        <v>0</v>
      </c>
    </row>
    <row r="109" ht="20" customHeight="1">
      <c r="A109" t="inlineStr">
        <is>
          <t>Grupo B</t>
        </is>
      </c>
      <c r="B109" t="inlineStr">
        <is>
          <t>BIH</t>
        </is>
      </c>
      <c r="C109" t="inlineStr">
        <is>
          <t>Bosnia and Herzegovina</t>
        </is>
      </c>
      <c r="D109" t="n">
        <v>8</v>
      </c>
      <c r="E109" t="inlineStr">
        <is>
          <t>BIH8</t>
        </is>
      </c>
      <c r="F109" t="inlineStr">
        <is>
          <t>Amir Hadziahmetovic - Bosnia and Herzegovina</t>
        </is>
      </c>
      <c r="G109" t="inlineStr">
        <is>
          <t>Base</t>
        </is>
      </c>
      <c r="I109" t="n">
        <v>0</v>
      </c>
    </row>
    <row r="110" ht="20" customHeight="1">
      <c r="A110" t="inlineStr">
        <is>
          <t>Grupo B</t>
        </is>
      </c>
      <c r="B110" t="inlineStr">
        <is>
          <t>BIH</t>
        </is>
      </c>
      <c r="C110" t="inlineStr">
        <is>
          <t>Bosnia and Herzegovina</t>
        </is>
      </c>
      <c r="D110" t="n">
        <v>9</v>
      </c>
      <c r="E110" t="inlineStr">
        <is>
          <t>BIH9</t>
        </is>
      </c>
      <c r="F110" t="inlineStr">
        <is>
          <t>Benjamin Tahirovic - Bosnia and Herzegovina</t>
        </is>
      </c>
      <c r="G110" t="inlineStr">
        <is>
          <t>Base</t>
        </is>
      </c>
      <c r="I110" t="n">
        <v>0</v>
      </c>
    </row>
    <row r="111" ht="20" customHeight="1">
      <c r="A111" t="inlineStr">
        <is>
          <t>Grupo B</t>
        </is>
      </c>
      <c r="B111" t="inlineStr">
        <is>
          <t>BIH</t>
        </is>
      </c>
      <c r="C111" t="inlineStr">
        <is>
          <t>Bosnia and Herzegovina</t>
        </is>
      </c>
      <c r="D111" t="n">
        <v>10</v>
      </c>
      <c r="E111" t="inlineStr">
        <is>
          <t>BIH10</t>
        </is>
      </c>
      <c r="F111" t="inlineStr">
        <is>
          <t>Armin Gigovic - Bosnia and Herzegovina</t>
        </is>
      </c>
      <c r="G111" t="inlineStr">
        <is>
          <t>Base</t>
        </is>
      </c>
      <c r="I111" t="n">
        <v>0</v>
      </c>
    </row>
    <row r="112" ht="20" customHeight="1">
      <c r="A112" t="inlineStr">
        <is>
          <t>Grupo B</t>
        </is>
      </c>
      <c r="B112" t="inlineStr">
        <is>
          <t>BIH</t>
        </is>
      </c>
      <c r="C112" t="inlineStr">
        <is>
          <t>Bosnia and Herzegovina</t>
        </is>
      </c>
      <c r="D112" t="n">
        <v>11</v>
      </c>
      <c r="E112" t="inlineStr">
        <is>
          <t>BIH11</t>
        </is>
      </c>
      <c r="F112" t="inlineStr">
        <is>
          <t>Ivan Sunjic - Bosnia and Herzegovina</t>
        </is>
      </c>
      <c r="G112" t="inlineStr">
        <is>
          <t>Base</t>
        </is>
      </c>
      <c r="I112" t="n">
        <v>0</v>
      </c>
    </row>
    <row r="113" ht="20" customHeight="1">
      <c r="A113" t="inlineStr">
        <is>
          <t>Grupo B</t>
        </is>
      </c>
      <c r="B113" t="inlineStr">
        <is>
          <t>BIH</t>
        </is>
      </c>
      <c r="C113" t="inlineStr">
        <is>
          <t>Bosnia and Herzegovina</t>
        </is>
      </c>
      <c r="D113" t="n">
        <v>12</v>
      </c>
      <c r="E113" t="inlineStr">
        <is>
          <t>BIH12</t>
        </is>
      </c>
      <c r="F113" t="inlineStr">
        <is>
          <t>Ivan Basic - Bosnia and Herzegovina</t>
        </is>
      </c>
      <c r="G113" t="inlineStr">
        <is>
          <t>Base</t>
        </is>
      </c>
      <c r="I113" t="n">
        <v>0</v>
      </c>
    </row>
    <row r="114" ht="20" customHeight="1">
      <c r="A114" t="inlineStr">
        <is>
          <t>Grupo B</t>
        </is>
      </c>
      <c r="B114" t="inlineStr">
        <is>
          <t>BIH</t>
        </is>
      </c>
      <c r="C114" t="inlineStr">
        <is>
          <t>Bosnia and Herzegovina</t>
        </is>
      </c>
      <c r="D114" t="n">
        <v>13</v>
      </c>
      <c r="E114" t="inlineStr">
        <is>
          <t>BIH13</t>
        </is>
      </c>
      <c r="F114" t="inlineStr">
        <is>
          <t>Team Photo - Bosnia and Herzegovina</t>
        </is>
      </c>
      <c r="G114" t="inlineStr">
        <is>
          <t>Base</t>
        </is>
      </c>
      <c r="I114" t="n">
        <v>0</v>
      </c>
    </row>
    <row r="115" ht="20" customHeight="1">
      <c r="A115" t="inlineStr">
        <is>
          <t>Grupo B</t>
        </is>
      </c>
      <c r="B115" t="inlineStr">
        <is>
          <t>BIH</t>
        </is>
      </c>
      <c r="C115" t="inlineStr">
        <is>
          <t>Bosnia and Herzegovina</t>
        </is>
      </c>
      <c r="D115" t="n">
        <v>14</v>
      </c>
      <c r="E115" t="inlineStr">
        <is>
          <t>BIH14</t>
        </is>
      </c>
      <c r="F115" t="inlineStr">
        <is>
          <t>Dzenis Burnic - Bosnia and Herzegovina</t>
        </is>
      </c>
      <c r="G115" t="inlineStr">
        <is>
          <t>Base</t>
        </is>
      </c>
      <c r="I115" t="n">
        <v>0</v>
      </c>
    </row>
    <row r="116" ht="20" customHeight="1">
      <c r="A116" t="inlineStr">
        <is>
          <t>Grupo B</t>
        </is>
      </c>
      <c r="B116" t="inlineStr">
        <is>
          <t>BIH</t>
        </is>
      </c>
      <c r="C116" t="inlineStr">
        <is>
          <t>Bosnia and Herzegovina</t>
        </is>
      </c>
      <c r="D116" t="n">
        <v>15</v>
      </c>
      <c r="E116" t="inlineStr">
        <is>
          <t>BIH15</t>
        </is>
      </c>
      <c r="F116" t="inlineStr">
        <is>
          <t>Esmir Bajraktarevic - Bosnia and Herzegovina</t>
        </is>
      </c>
      <c r="G116" t="inlineStr">
        <is>
          <t>Base</t>
        </is>
      </c>
      <c r="I116" t="n">
        <v>0</v>
      </c>
    </row>
    <row r="117" ht="20" customHeight="1">
      <c r="A117" t="inlineStr">
        <is>
          <t>Grupo B</t>
        </is>
      </c>
      <c r="B117" t="inlineStr">
        <is>
          <t>BIH</t>
        </is>
      </c>
      <c r="C117" t="inlineStr">
        <is>
          <t>Bosnia and Herzegovina</t>
        </is>
      </c>
      <c r="D117" t="n">
        <v>16</v>
      </c>
      <c r="E117" t="inlineStr">
        <is>
          <t>BIH16</t>
        </is>
      </c>
      <c r="F117" t="inlineStr">
        <is>
          <t>Amar Memic - Bosnia and Herzegovina</t>
        </is>
      </c>
      <c r="G117" t="inlineStr">
        <is>
          <t>Base</t>
        </is>
      </c>
      <c r="I117" t="n">
        <v>0</v>
      </c>
    </row>
    <row r="118" ht="20" customHeight="1">
      <c r="A118" t="inlineStr">
        <is>
          <t>Grupo B</t>
        </is>
      </c>
      <c r="B118" t="inlineStr">
        <is>
          <t>BIH</t>
        </is>
      </c>
      <c r="C118" t="inlineStr">
        <is>
          <t>Bosnia and Herzegovina</t>
        </is>
      </c>
      <c r="D118" t="n">
        <v>17</v>
      </c>
      <c r="E118" t="inlineStr">
        <is>
          <t>BIH17</t>
        </is>
      </c>
      <c r="F118" t="inlineStr">
        <is>
          <t>Ermedin Demirovic - Bosnia and Herzegovina</t>
        </is>
      </c>
      <c r="G118" t="inlineStr">
        <is>
          <t>Base</t>
        </is>
      </c>
      <c r="I118" t="n">
        <v>0</v>
      </c>
    </row>
    <row r="119" ht="20" customHeight="1">
      <c r="A119" t="inlineStr">
        <is>
          <t>Grupo B</t>
        </is>
      </c>
      <c r="B119" t="inlineStr">
        <is>
          <t>BIH</t>
        </is>
      </c>
      <c r="C119" t="inlineStr">
        <is>
          <t>Bosnia and Herzegovina</t>
        </is>
      </c>
      <c r="D119" t="n">
        <v>18</v>
      </c>
      <c r="E119" t="inlineStr">
        <is>
          <t>BIH18</t>
        </is>
      </c>
      <c r="F119" t="inlineStr">
        <is>
          <t>Edin Dzeko - Bosnia and Herzegovina</t>
        </is>
      </c>
      <c r="G119" t="inlineStr">
        <is>
          <t>Base</t>
        </is>
      </c>
      <c r="I119" t="n">
        <v>0</v>
      </c>
    </row>
    <row r="120" ht="20" customHeight="1">
      <c r="A120" t="inlineStr">
        <is>
          <t>Grupo B</t>
        </is>
      </c>
      <c r="B120" t="inlineStr">
        <is>
          <t>BIH</t>
        </is>
      </c>
      <c r="C120" t="inlineStr">
        <is>
          <t>Bosnia and Herzegovina</t>
        </is>
      </c>
      <c r="D120" t="n">
        <v>19</v>
      </c>
      <c r="E120" t="inlineStr">
        <is>
          <t>BIH19</t>
        </is>
      </c>
      <c r="F120" t="inlineStr">
        <is>
          <t>Samed Bazdar - Bosnia and Herzegovina</t>
        </is>
      </c>
      <c r="G120" t="inlineStr">
        <is>
          <t>Base</t>
        </is>
      </c>
      <c r="I120" t="n">
        <v>0</v>
      </c>
    </row>
    <row r="121" ht="20" customHeight="1">
      <c r="A121" t="inlineStr">
        <is>
          <t>Grupo B</t>
        </is>
      </c>
      <c r="B121" t="inlineStr">
        <is>
          <t>BIH</t>
        </is>
      </c>
      <c r="C121" t="inlineStr">
        <is>
          <t>Bosnia and Herzegovina</t>
        </is>
      </c>
      <c r="D121" t="n">
        <v>20</v>
      </c>
      <c r="E121" t="inlineStr">
        <is>
          <t>BIH20</t>
        </is>
      </c>
      <c r="F121" t="inlineStr">
        <is>
          <t>Haris Tabakovic - Bosnia and Herzegovina</t>
        </is>
      </c>
      <c r="G121" t="inlineStr">
        <is>
          <t>Base</t>
        </is>
      </c>
      <c r="I121" t="n">
        <v>0</v>
      </c>
    </row>
    <row r="122" ht="20" customHeight="1">
      <c r="A122" t="inlineStr">
        <is>
          <t>Grupo B</t>
        </is>
      </c>
      <c r="B122" t="inlineStr">
        <is>
          <t>QAT</t>
        </is>
      </c>
      <c r="C122" t="inlineStr">
        <is>
          <t>Qatar</t>
        </is>
      </c>
      <c r="D122" t="n">
        <v>1</v>
      </c>
      <c r="E122" t="inlineStr">
        <is>
          <t>QAT1</t>
        </is>
      </c>
      <c r="F122" t="inlineStr">
        <is>
          <t>Team Logo - Qatar FOIL</t>
        </is>
      </c>
      <c r="G122" t="inlineStr">
        <is>
          <t>FOIL</t>
        </is>
      </c>
      <c r="I122" t="n">
        <v>0</v>
      </c>
    </row>
    <row r="123" ht="20" customHeight="1">
      <c r="A123" t="inlineStr">
        <is>
          <t>Grupo B</t>
        </is>
      </c>
      <c r="B123" t="inlineStr">
        <is>
          <t>QAT</t>
        </is>
      </c>
      <c r="C123" t="inlineStr">
        <is>
          <t>Qatar</t>
        </is>
      </c>
      <c r="D123" t="n">
        <v>2</v>
      </c>
      <c r="E123" t="inlineStr">
        <is>
          <t>QAT2</t>
        </is>
      </c>
      <c r="F123" t="inlineStr">
        <is>
          <t>Meshaal Barsham - Qatar</t>
        </is>
      </c>
      <c r="G123" t="inlineStr">
        <is>
          <t>Base</t>
        </is>
      </c>
      <c r="I123" t="n">
        <v>0</v>
      </c>
    </row>
    <row r="124" ht="20" customHeight="1">
      <c r="A124" t="inlineStr">
        <is>
          <t>Grupo B</t>
        </is>
      </c>
      <c r="B124" t="inlineStr">
        <is>
          <t>QAT</t>
        </is>
      </c>
      <c r="C124" t="inlineStr">
        <is>
          <t>Qatar</t>
        </is>
      </c>
      <c r="D124" t="n">
        <v>3</v>
      </c>
      <c r="E124" t="inlineStr">
        <is>
          <t>QAT3</t>
        </is>
      </c>
      <c r="F124" t="inlineStr">
        <is>
          <t>Sultan Albrake - Qatar</t>
        </is>
      </c>
      <c r="G124" t="inlineStr">
        <is>
          <t>Base</t>
        </is>
      </c>
      <c r="I124" t="n">
        <v>0</v>
      </c>
    </row>
    <row r="125" ht="20" customHeight="1">
      <c r="A125" t="inlineStr">
        <is>
          <t>Grupo B</t>
        </is>
      </c>
      <c r="B125" t="inlineStr">
        <is>
          <t>QAT</t>
        </is>
      </c>
      <c r="C125" t="inlineStr">
        <is>
          <t>Qatar</t>
        </is>
      </c>
      <c r="D125" t="n">
        <v>4</v>
      </c>
      <c r="E125" t="inlineStr">
        <is>
          <t>QAT4</t>
        </is>
      </c>
      <c r="F125" t="inlineStr">
        <is>
          <t>Lucas Mendes - Qatar</t>
        </is>
      </c>
      <c r="G125" t="inlineStr">
        <is>
          <t>Base</t>
        </is>
      </c>
      <c r="I125" t="n">
        <v>0</v>
      </c>
    </row>
    <row r="126" ht="20" customHeight="1">
      <c r="A126" t="inlineStr">
        <is>
          <t>Grupo B</t>
        </is>
      </c>
      <c r="B126" t="inlineStr">
        <is>
          <t>QAT</t>
        </is>
      </c>
      <c r="C126" t="inlineStr">
        <is>
          <t>Qatar</t>
        </is>
      </c>
      <c r="D126" t="n">
        <v>5</v>
      </c>
      <c r="E126" t="inlineStr">
        <is>
          <t>QAT5</t>
        </is>
      </c>
      <c r="F126" t="inlineStr">
        <is>
          <t>Homam Ahmed - Qatar</t>
        </is>
      </c>
      <c r="G126" t="inlineStr">
        <is>
          <t>Base</t>
        </is>
      </c>
      <c r="I126" t="n">
        <v>0</v>
      </c>
    </row>
    <row r="127" ht="20" customHeight="1">
      <c r="A127" t="inlineStr">
        <is>
          <t>Grupo B</t>
        </is>
      </c>
      <c r="B127" t="inlineStr">
        <is>
          <t>QAT</t>
        </is>
      </c>
      <c r="C127" t="inlineStr">
        <is>
          <t>Qatar</t>
        </is>
      </c>
      <c r="D127" t="n">
        <v>6</v>
      </c>
      <c r="E127" t="inlineStr">
        <is>
          <t>QAT6</t>
        </is>
      </c>
      <c r="F127" t="inlineStr">
        <is>
          <t>Boualem Khoukhi - Qatar</t>
        </is>
      </c>
      <c r="G127" t="inlineStr">
        <is>
          <t>Base</t>
        </is>
      </c>
      <c r="I127" t="n">
        <v>0</v>
      </c>
    </row>
    <row r="128" ht="20" customHeight="1">
      <c r="A128" t="inlineStr">
        <is>
          <t>Grupo B</t>
        </is>
      </c>
      <c r="B128" t="inlineStr">
        <is>
          <t>QAT</t>
        </is>
      </c>
      <c r="C128" t="inlineStr">
        <is>
          <t>Qatar</t>
        </is>
      </c>
      <c r="D128" t="n">
        <v>7</v>
      </c>
      <c r="E128" t="inlineStr">
        <is>
          <t>QAT7</t>
        </is>
      </c>
      <c r="F128" t="inlineStr">
        <is>
          <t>Pedro Miguel - Qatar</t>
        </is>
      </c>
      <c r="G128" t="inlineStr">
        <is>
          <t>Base</t>
        </is>
      </c>
      <c r="I128" t="n">
        <v>0</v>
      </c>
    </row>
    <row r="129" ht="20" customHeight="1">
      <c r="A129" t="inlineStr">
        <is>
          <t>Grupo B</t>
        </is>
      </c>
      <c r="B129" t="inlineStr">
        <is>
          <t>QAT</t>
        </is>
      </c>
      <c r="C129" t="inlineStr">
        <is>
          <t>Qatar</t>
        </is>
      </c>
      <c r="D129" t="n">
        <v>8</v>
      </c>
      <c r="E129" t="inlineStr">
        <is>
          <t>QAT8</t>
        </is>
      </c>
      <c r="F129" t="inlineStr">
        <is>
          <t>Tarek Salman - Qatar</t>
        </is>
      </c>
      <c r="G129" t="inlineStr">
        <is>
          <t>Base</t>
        </is>
      </c>
      <c r="I129" t="n">
        <v>0</v>
      </c>
    </row>
    <row r="130" ht="20" customHeight="1">
      <c r="A130" t="inlineStr">
        <is>
          <t>Grupo B</t>
        </is>
      </c>
      <c r="B130" t="inlineStr">
        <is>
          <t>QAT</t>
        </is>
      </c>
      <c r="C130" t="inlineStr">
        <is>
          <t>Qatar</t>
        </is>
      </c>
      <c r="D130" t="n">
        <v>9</v>
      </c>
      <c r="E130" t="inlineStr">
        <is>
          <t>QAT9</t>
        </is>
      </c>
      <c r="F130" t="inlineStr">
        <is>
          <t>Mohamed Al-Mannai - Qatar</t>
        </is>
      </c>
      <c r="G130" t="inlineStr">
        <is>
          <t>Base</t>
        </is>
      </c>
      <c r="I130" t="n">
        <v>0</v>
      </c>
    </row>
    <row r="131" ht="20" customHeight="1">
      <c r="A131" t="inlineStr">
        <is>
          <t>Grupo B</t>
        </is>
      </c>
      <c r="B131" t="inlineStr">
        <is>
          <t>QAT</t>
        </is>
      </c>
      <c r="C131" t="inlineStr">
        <is>
          <t>Qatar</t>
        </is>
      </c>
      <c r="D131" t="n">
        <v>10</v>
      </c>
      <c r="E131" t="inlineStr">
        <is>
          <t>QAT10</t>
        </is>
      </c>
      <c r="F131" t="inlineStr">
        <is>
          <t>Karim Boudiaf - Qatar</t>
        </is>
      </c>
      <c r="G131" t="inlineStr">
        <is>
          <t>Base</t>
        </is>
      </c>
      <c r="I131" t="n">
        <v>0</v>
      </c>
    </row>
    <row r="132" ht="20" customHeight="1">
      <c r="A132" t="inlineStr">
        <is>
          <t>Grupo B</t>
        </is>
      </c>
      <c r="B132" t="inlineStr">
        <is>
          <t>QAT</t>
        </is>
      </c>
      <c r="C132" t="inlineStr">
        <is>
          <t>Qatar</t>
        </is>
      </c>
      <c r="D132" t="n">
        <v>11</v>
      </c>
      <c r="E132" t="inlineStr">
        <is>
          <t>QAT11</t>
        </is>
      </c>
      <c r="F132" t="inlineStr">
        <is>
          <t>Assim Madibo - Qatar</t>
        </is>
      </c>
      <c r="G132" t="inlineStr">
        <is>
          <t>Base</t>
        </is>
      </c>
      <c r="I132" t="n">
        <v>0</v>
      </c>
    </row>
    <row r="133" ht="20" customHeight="1">
      <c r="A133" t="inlineStr">
        <is>
          <t>Grupo B</t>
        </is>
      </c>
      <c r="B133" t="inlineStr">
        <is>
          <t>QAT</t>
        </is>
      </c>
      <c r="C133" t="inlineStr">
        <is>
          <t>Qatar</t>
        </is>
      </c>
      <c r="D133" t="n">
        <v>12</v>
      </c>
      <c r="E133" t="inlineStr">
        <is>
          <t>QAT12</t>
        </is>
      </c>
      <c r="F133" t="inlineStr">
        <is>
          <t>Ahmed Fatehi - Qatar</t>
        </is>
      </c>
      <c r="G133" t="inlineStr">
        <is>
          <t>Base</t>
        </is>
      </c>
      <c r="I133" t="n">
        <v>0</v>
      </c>
    </row>
    <row r="134" ht="20" customHeight="1">
      <c r="A134" t="inlineStr">
        <is>
          <t>Grupo B</t>
        </is>
      </c>
      <c r="B134" t="inlineStr">
        <is>
          <t>QAT</t>
        </is>
      </c>
      <c r="C134" t="inlineStr">
        <is>
          <t>Qatar</t>
        </is>
      </c>
      <c r="D134" t="n">
        <v>13</v>
      </c>
      <c r="E134" t="inlineStr">
        <is>
          <t>QAT13</t>
        </is>
      </c>
      <c r="F134" t="inlineStr">
        <is>
          <t>Team Photo - Qatar</t>
        </is>
      </c>
      <c r="G134" t="inlineStr">
        <is>
          <t>Base</t>
        </is>
      </c>
      <c r="I134" t="n">
        <v>0</v>
      </c>
    </row>
    <row r="135" ht="20" customHeight="1">
      <c r="A135" t="inlineStr">
        <is>
          <t>Grupo B</t>
        </is>
      </c>
      <c r="B135" t="inlineStr">
        <is>
          <t>QAT</t>
        </is>
      </c>
      <c r="C135" t="inlineStr">
        <is>
          <t>Qatar</t>
        </is>
      </c>
      <c r="D135" t="n">
        <v>14</v>
      </c>
      <c r="E135" t="inlineStr">
        <is>
          <t>QAT14</t>
        </is>
      </c>
      <c r="F135" t="inlineStr">
        <is>
          <t>Mohammed Waad - Qatar</t>
        </is>
      </c>
      <c r="G135" t="inlineStr">
        <is>
          <t>Base</t>
        </is>
      </c>
      <c r="I135" t="n">
        <v>0</v>
      </c>
    </row>
    <row r="136" ht="20" customHeight="1">
      <c r="A136" t="inlineStr">
        <is>
          <t>Grupo B</t>
        </is>
      </c>
      <c r="B136" t="inlineStr">
        <is>
          <t>QAT</t>
        </is>
      </c>
      <c r="C136" t="inlineStr">
        <is>
          <t>Qatar</t>
        </is>
      </c>
      <c r="D136" t="n">
        <v>15</v>
      </c>
      <c r="E136" t="inlineStr">
        <is>
          <t>QAT15</t>
        </is>
      </c>
      <c r="F136" t="inlineStr">
        <is>
          <t>Abdulaziz Hatem - Qatar</t>
        </is>
      </c>
      <c r="G136" t="inlineStr">
        <is>
          <t>Base</t>
        </is>
      </c>
      <c r="I136" t="n">
        <v>0</v>
      </c>
    </row>
    <row r="137" ht="20" customHeight="1">
      <c r="A137" t="inlineStr">
        <is>
          <t>Grupo B</t>
        </is>
      </c>
      <c r="B137" t="inlineStr">
        <is>
          <t>QAT</t>
        </is>
      </c>
      <c r="C137" t="inlineStr">
        <is>
          <t>Qatar</t>
        </is>
      </c>
      <c r="D137" t="n">
        <v>16</v>
      </c>
      <c r="E137" t="inlineStr">
        <is>
          <t>QAT16</t>
        </is>
      </c>
      <c r="F137" t="inlineStr">
        <is>
          <t>Hassan Al-Haydos - Qatar</t>
        </is>
      </c>
      <c r="G137" t="inlineStr">
        <is>
          <t>Base</t>
        </is>
      </c>
      <c r="I137" t="n">
        <v>0</v>
      </c>
    </row>
    <row r="138" ht="20" customHeight="1">
      <c r="A138" t="inlineStr">
        <is>
          <t>Grupo B</t>
        </is>
      </c>
      <c r="B138" t="inlineStr">
        <is>
          <t>QAT</t>
        </is>
      </c>
      <c r="C138" t="inlineStr">
        <is>
          <t>Qatar</t>
        </is>
      </c>
      <c r="D138" t="n">
        <v>17</v>
      </c>
      <c r="E138" t="inlineStr">
        <is>
          <t>QAT17</t>
        </is>
      </c>
      <c r="F138" t="inlineStr">
        <is>
          <t>Edmilson Junior - Qatar</t>
        </is>
      </c>
      <c r="G138" t="inlineStr">
        <is>
          <t>Base</t>
        </is>
      </c>
      <c r="I138" t="n">
        <v>0</v>
      </c>
    </row>
    <row r="139" ht="20" customHeight="1">
      <c r="A139" t="inlineStr">
        <is>
          <t>Grupo B</t>
        </is>
      </c>
      <c r="B139" t="inlineStr">
        <is>
          <t>QAT</t>
        </is>
      </c>
      <c r="C139" t="inlineStr">
        <is>
          <t>Qatar</t>
        </is>
      </c>
      <c r="D139" t="n">
        <v>18</v>
      </c>
      <c r="E139" t="inlineStr">
        <is>
          <t>QAT18</t>
        </is>
      </c>
      <c r="F139" t="inlineStr">
        <is>
          <t>Akram Hassan Afif - Qatar</t>
        </is>
      </c>
      <c r="G139" t="inlineStr">
        <is>
          <t>Base</t>
        </is>
      </c>
      <c r="I139" t="n">
        <v>0</v>
      </c>
    </row>
    <row r="140" ht="20" customHeight="1">
      <c r="A140" t="inlineStr">
        <is>
          <t>Grupo B</t>
        </is>
      </c>
      <c r="B140" t="inlineStr">
        <is>
          <t>QAT</t>
        </is>
      </c>
      <c r="C140" t="inlineStr">
        <is>
          <t>Qatar</t>
        </is>
      </c>
      <c r="D140" t="n">
        <v>19</v>
      </c>
      <c r="E140" t="inlineStr">
        <is>
          <t>QAT19</t>
        </is>
      </c>
      <c r="F140" t="inlineStr">
        <is>
          <t>Ahmed Al Ganehi - Qatar</t>
        </is>
      </c>
      <c r="G140" t="inlineStr">
        <is>
          <t>Base</t>
        </is>
      </c>
      <c r="I140" t="n">
        <v>0</v>
      </c>
    </row>
    <row r="141" ht="20" customHeight="1">
      <c r="A141" t="inlineStr">
        <is>
          <t>Grupo B</t>
        </is>
      </c>
      <c r="B141" t="inlineStr">
        <is>
          <t>QAT</t>
        </is>
      </c>
      <c r="C141" t="inlineStr">
        <is>
          <t>Qatar</t>
        </is>
      </c>
      <c r="D141" t="n">
        <v>20</v>
      </c>
      <c r="E141" t="inlineStr">
        <is>
          <t>QAT20</t>
        </is>
      </c>
      <c r="F141" t="inlineStr">
        <is>
          <t>Almoez Ali - Qatar</t>
        </is>
      </c>
      <c r="G141" t="inlineStr">
        <is>
          <t>Base</t>
        </is>
      </c>
      <c r="I141" t="n">
        <v>0</v>
      </c>
    </row>
    <row r="142" ht="20" customHeight="1">
      <c r="A142" t="inlineStr">
        <is>
          <t>Grupo B</t>
        </is>
      </c>
      <c r="B142" t="inlineStr">
        <is>
          <t>SUI</t>
        </is>
      </c>
      <c r="C142" t="inlineStr">
        <is>
          <t>Switzerland</t>
        </is>
      </c>
      <c r="D142" t="n">
        <v>1</v>
      </c>
      <c r="E142" t="inlineStr">
        <is>
          <t>SUI1</t>
        </is>
      </c>
      <c r="F142" t="inlineStr">
        <is>
          <t>Team Logo - Switzerland FOIL</t>
        </is>
      </c>
      <c r="G142" t="inlineStr">
        <is>
          <t>FOIL</t>
        </is>
      </c>
      <c r="I142" t="n">
        <v>0</v>
      </c>
    </row>
    <row r="143" ht="20" customHeight="1">
      <c r="A143" t="inlineStr">
        <is>
          <t>Grupo B</t>
        </is>
      </c>
      <c r="B143" t="inlineStr">
        <is>
          <t>SUI</t>
        </is>
      </c>
      <c r="C143" t="inlineStr">
        <is>
          <t>Switzerland</t>
        </is>
      </c>
      <c r="D143" t="n">
        <v>2</v>
      </c>
      <c r="E143" t="inlineStr">
        <is>
          <t>SUI2</t>
        </is>
      </c>
      <c r="F143" t="inlineStr">
        <is>
          <t>Gregor Kobel - Switzerland</t>
        </is>
      </c>
      <c r="G143" t="inlineStr">
        <is>
          <t>Base</t>
        </is>
      </c>
      <c r="I143" t="n">
        <v>0</v>
      </c>
    </row>
    <row r="144" ht="20" customHeight="1">
      <c r="A144" t="inlineStr">
        <is>
          <t>Grupo B</t>
        </is>
      </c>
      <c r="B144" t="inlineStr">
        <is>
          <t>SUI</t>
        </is>
      </c>
      <c r="C144" t="inlineStr">
        <is>
          <t>Switzerland</t>
        </is>
      </c>
      <c r="D144" t="n">
        <v>3</v>
      </c>
      <c r="E144" t="inlineStr">
        <is>
          <t>SUI3</t>
        </is>
      </c>
      <c r="F144" t="inlineStr">
        <is>
          <t>Yvon Mvogo - Switzerland</t>
        </is>
      </c>
      <c r="G144" t="inlineStr">
        <is>
          <t>Base</t>
        </is>
      </c>
      <c r="I144" t="n">
        <v>0</v>
      </c>
    </row>
    <row r="145" ht="20" customHeight="1">
      <c r="A145" t="inlineStr">
        <is>
          <t>Grupo B</t>
        </is>
      </c>
      <c r="B145" t="inlineStr">
        <is>
          <t>SUI</t>
        </is>
      </c>
      <c r="C145" t="inlineStr">
        <is>
          <t>Switzerland</t>
        </is>
      </c>
      <c r="D145" t="n">
        <v>4</v>
      </c>
      <c r="E145" t="inlineStr">
        <is>
          <t>SUI4</t>
        </is>
      </c>
      <c r="F145" t="inlineStr">
        <is>
          <t>Manuel Akanji - Switzerland</t>
        </is>
      </c>
      <c r="G145" t="inlineStr">
        <is>
          <t>Base</t>
        </is>
      </c>
      <c r="I145" t="n">
        <v>0</v>
      </c>
    </row>
    <row r="146" ht="20" customHeight="1">
      <c r="A146" t="inlineStr">
        <is>
          <t>Grupo B</t>
        </is>
      </c>
      <c r="B146" t="inlineStr">
        <is>
          <t>SUI</t>
        </is>
      </c>
      <c r="C146" t="inlineStr">
        <is>
          <t>Switzerland</t>
        </is>
      </c>
      <c r="D146" t="n">
        <v>5</v>
      </c>
      <c r="E146" t="inlineStr">
        <is>
          <t>SUI5</t>
        </is>
      </c>
      <c r="F146" t="inlineStr">
        <is>
          <t>Ricardo Rodriguez - Switzerland</t>
        </is>
      </c>
      <c r="G146" t="inlineStr">
        <is>
          <t>Base</t>
        </is>
      </c>
      <c r="I146" t="n">
        <v>0</v>
      </c>
    </row>
    <row r="147" ht="20" customHeight="1">
      <c r="A147" t="inlineStr">
        <is>
          <t>Grupo B</t>
        </is>
      </c>
      <c r="B147" t="inlineStr">
        <is>
          <t>SUI</t>
        </is>
      </c>
      <c r="C147" t="inlineStr">
        <is>
          <t>Switzerland</t>
        </is>
      </c>
      <c r="D147" t="n">
        <v>6</v>
      </c>
      <c r="E147" t="inlineStr">
        <is>
          <t>SUI6</t>
        </is>
      </c>
      <c r="F147" t="inlineStr">
        <is>
          <t>Nico Elvedi - Switzerland</t>
        </is>
      </c>
      <c r="G147" t="inlineStr">
        <is>
          <t>Base</t>
        </is>
      </c>
      <c r="I147" t="n">
        <v>0</v>
      </c>
    </row>
    <row r="148" ht="20" customHeight="1">
      <c r="A148" t="inlineStr">
        <is>
          <t>Grupo B</t>
        </is>
      </c>
      <c r="B148" t="inlineStr">
        <is>
          <t>SUI</t>
        </is>
      </c>
      <c r="C148" t="inlineStr">
        <is>
          <t>Switzerland</t>
        </is>
      </c>
      <c r="D148" t="n">
        <v>7</v>
      </c>
      <c r="E148" t="inlineStr">
        <is>
          <t>SUI7</t>
        </is>
      </c>
      <c r="F148" t="inlineStr">
        <is>
          <t>Aurèle Amenda - Switzerland</t>
        </is>
      </c>
      <c r="G148" t="inlineStr">
        <is>
          <t>Base</t>
        </is>
      </c>
      <c r="I148" t="n">
        <v>0</v>
      </c>
    </row>
    <row r="149" ht="20" customHeight="1">
      <c r="A149" t="inlineStr">
        <is>
          <t>Grupo B</t>
        </is>
      </c>
      <c r="B149" t="inlineStr">
        <is>
          <t>SUI</t>
        </is>
      </c>
      <c r="C149" t="inlineStr">
        <is>
          <t>Switzerland</t>
        </is>
      </c>
      <c r="D149" t="n">
        <v>8</v>
      </c>
      <c r="E149" t="inlineStr">
        <is>
          <t>SUI8</t>
        </is>
      </c>
      <c r="F149" t="inlineStr">
        <is>
          <t>Silvan Widmer - Switzerland</t>
        </is>
      </c>
      <c r="G149" t="inlineStr">
        <is>
          <t>Base</t>
        </is>
      </c>
      <c r="I149" t="n">
        <v>0</v>
      </c>
    </row>
    <row r="150" ht="20" customHeight="1">
      <c r="A150" t="inlineStr">
        <is>
          <t>Grupo B</t>
        </is>
      </c>
      <c r="B150" t="inlineStr">
        <is>
          <t>SUI</t>
        </is>
      </c>
      <c r="C150" t="inlineStr">
        <is>
          <t>Switzerland</t>
        </is>
      </c>
      <c r="D150" t="n">
        <v>9</v>
      </c>
      <c r="E150" t="inlineStr">
        <is>
          <t>SWI9</t>
        </is>
      </c>
      <c r="F150" t="inlineStr">
        <is>
          <t>Granit Xhaka - Switzerland</t>
        </is>
      </c>
      <c r="G150" t="inlineStr">
        <is>
          <t>Base</t>
        </is>
      </c>
      <c r="I150" t="n">
        <v>0</v>
      </c>
    </row>
    <row r="151" ht="20" customHeight="1">
      <c r="A151" t="inlineStr">
        <is>
          <t>Grupo B</t>
        </is>
      </c>
      <c r="B151" t="inlineStr">
        <is>
          <t>SUI</t>
        </is>
      </c>
      <c r="C151" t="inlineStr">
        <is>
          <t>Switzerland</t>
        </is>
      </c>
      <c r="D151" t="n">
        <v>10</v>
      </c>
      <c r="E151" t="inlineStr">
        <is>
          <t>SUI10</t>
        </is>
      </c>
      <c r="F151" t="inlineStr">
        <is>
          <t>Denis Zakaria - Switzerland</t>
        </is>
      </c>
      <c r="G151" t="inlineStr">
        <is>
          <t>Base</t>
        </is>
      </c>
      <c r="I151" t="n">
        <v>0</v>
      </c>
    </row>
    <row r="152" ht="20" customHeight="1">
      <c r="A152" t="inlineStr">
        <is>
          <t>Grupo B</t>
        </is>
      </c>
      <c r="B152" t="inlineStr">
        <is>
          <t>SUI</t>
        </is>
      </c>
      <c r="C152" t="inlineStr">
        <is>
          <t>Switzerland</t>
        </is>
      </c>
      <c r="D152" t="n">
        <v>11</v>
      </c>
      <c r="E152" t="inlineStr">
        <is>
          <t>SUI11</t>
        </is>
      </c>
      <c r="F152" t="inlineStr">
        <is>
          <t>Remo Freuler - Switzerland</t>
        </is>
      </c>
      <c r="G152" t="inlineStr">
        <is>
          <t>Base</t>
        </is>
      </c>
      <c r="I152" t="n">
        <v>0</v>
      </c>
    </row>
    <row r="153" ht="20" customHeight="1">
      <c r="A153" t="inlineStr">
        <is>
          <t>Grupo B</t>
        </is>
      </c>
      <c r="B153" t="inlineStr">
        <is>
          <t>SUI</t>
        </is>
      </c>
      <c r="C153" t="inlineStr">
        <is>
          <t>Switzerland</t>
        </is>
      </c>
      <c r="D153" t="n">
        <v>12</v>
      </c>
      <c r="E153" t="inlineStr">
        <is>
          <t>SUI12</t>
        </is>
      </c>
      <c r="F153" t="inlineStr">
        <is>
          <t>Fabian Rieder - Switzerland</t>
        </is>
      </c>
      <c r="G153" t="inlineStr">
        <is>
          <t>Base</t>
        </is>
      </c>
      <c r="I153" t="n">
        <v>0</v>
      </c>
    </row>
    <row r="154" ht="20" customHeight="1">
      <c r="A154" t="inlineStr">
        <is>
          <t>Grupo B</t>
        </is>
      </c>
      <c r="B154" t="inlineStr">
        <is>
          <t>SUI</t>
        </is>
      </c>
      <c r="C154" t="inlineStr">
        <is>
          <t>Switzerland</t>
        </is>
      </c>
      <c r="D154" t="n">
        <v>13</v>
      </c>
      <c r="E154" t="inlineStr">
        <is>
          <t>SUI13</t>
        </is>
      </c>
      <c r="F154" t="inlineStr">
        <is>
          <t>Team Photo - Switzerland</t>
        </is>
      </c>
      <c r="G154" t="inlineStr">
        <is>
          <t>Base</t>
        </is>
      </c>
      <c r="I154" t="n">
        <v>0</v>
      </c>
    </row>
    <row r="155" ht="20" customHeight="1">
      <c r="A155" t="inlineStr">
        <is>
          <t>Grupo B</t>
        </is>
      </c>
      <c r="B155" t="inlineStr">
        <is>
          <t>SUI</t>
        </is>
      </c>
      <c r="C155" t="inlineStr">
        <is>
          <t>Switzerland</t>
        </is>
      </c>
      <c r="D155" t="n">
        <v>14</v>
      </c>
      <c r="E155" t="inlineStr">
        <is>
          <t>SUI14</t>
        </is>
      </c>
      <c r="F155" t="inlineStr">
        <is>
          <t>Ardon Jashari - Switzerland</t>
        </is>
      </c>
      <c r="G155" t="inlineStr">
        <is>
          <t>Base</t>
        </is>
      </c>
      <c r="I155" t="n">
        <v>0</v>
      </c>
    </row>
    <row r="156" ht="20" customHeight="1">
      <c r="A156" t="inlineStr">
        <is>
          <t>Grupo B</t>
        </is>
      </c>
      <c r="B156" t="inlineStr">
        <is>
          <t>SUI</t>
        </is>
      </c>
      <c r="C156" t="inlineStr">
        <is>
          <t>Switzerland</t>
        </is>
      </c>
      <c r="D156" t="n">
        <v>15</v>
      </c>
      <c r="E156" t="inlineStr">
        <is>
          <t>SUI15</t>
        </is>
      </c>
      <c r="F156" t="inlineStr">
        <is>
          <t>Johan Manzambi - Switzerland</t>
        </is>
      </c>
      <c r="G156" t="inlineStr">
        <is>
          <t>Base</t>
        </is>
      </c>
      <c r="I156" t="n">
        <v>0</v>
      </c>
    </row>
    <row r="157" ht="20" customHeight="1">
      <c r="A157" t="inlineStr">
        <is>
          <t>Grupo B</t>
        </is>
      </c>
      <c r="B157" t="inlineStr">
        <is>
          <t>SUI</t>
        </is>
      </c>
      <c r="C157" t="inlineStr">
        <is>
          <t>Switzerland</t>
        </is>
      </c>
      <c r="D157" t="n">
        <v>16</v>
      </c>
      <c r="E157" t="inlineStr">
        <is>
          <t>SUI16</t>
        </is>
      </c>
      <c r="F157" t="inlineStr">
        <is>
          <t>Michel Aebischer - Switzerland</t>
        </is>
      </c>
      <c r="G157" t="inlineStr">
        <is>
          <t>Base</t>
        </is>
      </c>
      <c r="I157" t="n">
        <v>0</v>
      </c>
    </row>
    <row r="158" ht="20" customHeight="1">
      <c r="A158" t="inlineStr">
        <is>
          <t>Grupo B</t>
        </is>
      </c>
      <c r="B158" t="inlineStr">
        <is>
          <t>SUI</t>
        </is>
      </c>
      <c r="C158" t="inlineStr">
        <is>
          <t>Switzerland</t>
        </is>
      </c>
      <c r="D158" t="n">
        <v>17</v>
      </c>
      <c r="E158" t="inlineStr">
        <is>
          <t>SUI17</t>
        </is>
      </c>
      <c r="F158" t="inlineStr">
        <is>
          <t>Breel Embolo - Switzerland</t>
        </is>
      </c>
      <c r="G158" t="inlineStr">
        <is>
          <t>Base</t>
        </is>
      </c>
      <c r="I158" t="n">
        <v>0</v>
      </c>
    </row>
    <row r="159" ht="20" customHeight="1">
      <c r="A159" t="inlineStr">
        <is>
          <t>Grupo B</t>
        </is>
      </c>
      <c r="B159" t="inlineStr">
        <is>
          <t>SUI</t>
        </is>
      </c>
      <c r="C159" t="inlineStr">
        <is>
          <t>Switzerland</t>
        </is>
      </c>
      <c r="D159" t="n">
        <v>18</v>
      </c>
      <c r="E159" t="inlineStr">
        <is>
          <t>SUI18</t>
        </is>
      </c>
      <c r="F159" t="inlineStr">
        <is>
          <t>Ruben Vargas - Switzerland</t>
        </is>
      </c>
      <c r="G159" t="inlineStr">
        <is>
          <t>Base</t>
        </is>
      </c>
      <c r="I159" t="n">
        <v>0</v>
      </c>
    </row>
    <row r="160" ht="20" customHeight="1">
      <c r="A160" t="inlineStr">
        <is>
          <t>Grupo B</t>
        </is>
      </c>
      <c r="B160" t="inlineStr">
        <is>
          <t>SUI</t>
        </is>
      </c>
      <c r="C160" t="inlineStr">
        <is>
          <t>Switzerland</t>
        </is>
      </c>
      <c r="D160" t="n">
        <v>19</v>
      </c>
      <c r="E160" t="inlineStr">
        <is>
          <t>SUI19</t>
        </is>
      </c>
      <c r="F160" t="inlineStr">
        <is>
          <t>Dan Ndoye - Switzerland</t>
        </is>
      </c>
      <c r="G160" t="inlineStr">
        <is>
          <t>Base</t>
        </is>
      </c>
      <c r="I160" t="n">
        <v>0</v>
      </c>
    </row>
    <row r="161" ht="20" customHeight="1">
      <c r="A161" t="inlineStr">
        <is>
          <t>Grupo B</t>
        </is>
      </c>
      <c r="B161" t="inlineStr">
        <is>
          <t>SUI</t>
        </is>
      </c>
      <c r="C161" t="inlineStr">
        <is>
          <t>Switzerland</t>
        </is>
      </c>
      <c r="D161" t="n">
        <v>20</v>
      </c>
      <c r="E161" t="inlineStr">
        <is>
          <t>SWI20</t>
        </is>
      </c>
      <c r="F161" t="inlineStr">
        <is>
          <t>Zeki Amdouni - Switzerland</t>
        </is>
      </c>
      <c r="G161" t="inlineStr">
        <is>
          <t>Base</t>
        </is>
      </c>
      <c r="I161" t="n">
        <v>0</v>
      </c>
    </row>
    <row r="162" ht="20" customHeight="1">
      <c r="A162" t="inlineStr">
        <is>
          <t>Grupo C</t>
        </is>
      </c>
      <c r="B162" t="inlineStr">
        <is>
          <t>BRA</t>
        </is>
      </c>
      <c r="C162" t="inlineStr">
        <is>
          <t>Brazil</t>
        </is>
      </c>
      <c r="D162" t="n">
        <v>1</v>
      </c>
      <c r="E162" t="inlineStr">
        <is>
          <t>BRA1</t>
        </is>
      </c>
      <c r="F162" t="inlineStr">
        <is>
          <t>Team Logo - Brazil FOIL</t>
        </is>
      </c>
      <c r="G162" t="inlineStr">
        <is>
          <t>FOIL</t>
        </is>
      </c>
      <c r="I162" t="n">
        <v>0</v>
      </c>
    </row>
    <row r="163" ht="20" customHeight="1">
      <c r="A163" t="inlineStr">
        <is>
          <t>Grupo C</t>
        </is>
      </c>
      <c r="B163" t="inlineStr">
        <is>
          <t>BRA</t>
        </is>
      </c>
      <c r="C163" t="inlineStr">
        <is>
          <t>Brazil</t>
        </is>
      </c>
      <c r="D163" t="n">
        <v>2</v>
      </c>
      <c r="E163" t="inlineStr">
        <is>
          <t>BRA2</t>
        </is>
      </c>
      <c r="F163" t="inlineStr">
        <is>
          <t>Alisson - Brazil</t>
        </is>
      </c>
      <c r="G163" t="inlineStr">
        <is>
          <t>Base</t>
        </is>
      </c>
      <c r="I163" t="n">
        <v>0</v>
      </c>
    </row>
    <row r="164" ht="20" customHeight="1">
      <c r="A164" t="inlineStr">
        <is>
          <t>Grupo C</t>
        </is>
      </c>
      <c r="B164" t="inlineStr">
        <is>
          <t>BRA</t>
        </is>
      </c>
      <c r="C164" t="inlineStr">
        <is>
          <t>Brazil</t>
        </is>
      </c>
      <c r="D164" t="n">
        <v>3</v>
      </c>
      <c r="E164" t="inlineStr">
        <is>
          <t>BRA3</t>
        </is>
      </c>
      <c r="F164" t="inlineStr">
        <is>
          <t>Bento - Brazil</t>
        </is>
      </c>
      <c r="G164" t="inlineStr">
        <is>
          <t>Base</t>
        </is>
      </c>
      <c r="I164" t="n">
        <v>0</v>
      </c>
    </row>
    <row r="165" ht="20" customHeight="1">
      <c r="A165" t="inlineStr">
        <is>
          <t>Grupo C</t>
        </is>
      </c>
      <c r="B165" t="inlineStr">
        <is>
          <t>BRA</t>
        </is>
      </c>
      <c r="C165" t="inlineStr">
        <is>
          <t>Brazil</t>
        </is>
      </c>
      <c r="D165" t="n">
        <v>4</v>
      </c>
      <c r="E165" t="inlineStr">
        <is>
          <t>BRA4</t>
        </is>
      </c>
      <c r="F165" t="inlineStr">
        <is>
          <t>Marquinhos - Brazil</t>
        </is>
      </c>
      <c r="G165" t="inlineStr">
        <is>
          <t>Base</t>
        </is>
      </c>
      <c r="I165" t="n">
        <v>0</v>
      </c>
    </row>
    <row r="166" ht="20" customHeight="1">
      <c r="A166" t="inlineStr">
        <is>
          <t>Grupo C</t>
        </is>
      </c>
      <c r="B166" t="inlineStr">
        <is>
          <t>BRA</t>
        </is>
      </c>
      <c r="C166" t="inlineStr">
        <is>
          <t>Brazil</t>
        </is>
      </c>
      <c r="D166" t="n">
        <v>5</v>
      </c>
      <c r="E166" t="inlineStr">
        <is>
          <t>BRA5</t>
        </is>
      </c>
      <c r="F166" t="inlineStr">
        <is>
          <t>Éder Militão - Brazil</t>
        </is>
      </c>
      <c r="G166" t="inlineStr">
        <is>
          <t>Base</t>
        </is>
      </c>
      <c r="I166" t="n">
        <v>0</v>
      </c>
    </row>
    <row r="167" ht="20" customHeight="1">
      <c r="A167" t="inlineStr">
        <is>
          <t>Grupo C</t>
        </is>
      </c>
      <c r="B167" t="inlineStr">
        <is>
          <t>BRA</t>
        </is>
      </c>
      <c r="C167" t="inlineStr">
        <is>
          <t>Brazil</t>
        </is>
      </c>
      <c r="D167" t="n">
        <v>6</v>
      </c>
      <c r="E167" t="inlineStr">
        <is>
          <t>BRA6</t>
        </is>
      </c>
      <c r="F167" t="inlineStr">
        <is>
          <t>Gabriel Magalhães - Brazil</t>
        </is>
      </c>
      <c r="G167" t="inlineStr">
        <is>
          <t>Base</t>
        </is>
      </c>
      <c r="I167" t="n">
        <v>0</v>
      </c>
    </row>
    <row r="168" ht="20" customHeight="1">
      <c r="A168" t="inlineStr">
        <is>
          <t>Grupo C</t>
        </is>
      </c>
      <c r="B168" t="inlineStr">
        <is>
          <t>BRA</t>
        </is>
      </c>
      <c r="C168" t="inlineStr">
        <is>
          <t>Brazil</t>
        </is>
      </c>
      <c r="D168" t="n">
        <v>7</v>
      </c>
      <c r="E168" t="inlineStr">
        <is>
          <t>BRA7</t>
        </is>
      </c>
      <c r="F168" t="inlineStr">
        <is>
          <t>Danilo - Brazil</t>
        </is>
      </c>
      <c r="G168" t="inlineStr">
        <is>
          <t>Base</t>
        </is>
      </c>
      <c r="I168" t="n">
        <v>0</v>
      </c>
    </row>
    <row r="169" ht="20" customHeight="1">
      <c r="A169" t="inlineStr">
        <is>
          <t>Grupo C</t>
        </is>
      </c>
      <c r="B169" t="inlineStr">
        <is>
          <t>BRA</t>
        </is>
      </c>
      <c r="C169" t="inlineStr">
        <is>
          <t>Brazil</t>
        </is>
      </c>
      <c r="D169" t="n">
        <v>8</v>
      </c>
      <c r="E169" t="inlineStr">
        <is>
          <t>BRA8</t>
        </is>
      </c>
      <c r="F169" t="inlineStr">
        <is>
          <t>Wesley - Brazil</t>
        </is>
      </c>
      <c r="G169" t="inlineStr">
        <is>
          <t>Base</t>
        </is>
      </c>
      <c r="I169" t="n">
        <v>0</v>
      </c>
    </row>
    <row r="170" ht="20" customHeight="1">
      <c r="A170" t="inlineStr">
        <is>
          <t>Grupo C</t>
        </is>
      </c>
      <c r="B170" t="inlineStr">
        <is>
          <t>BRA</t>
        </is>
      </c>
      <c r="C170" t="inlineStr">
        <is>
          <t>Brazil</t>
        </is>
      </c>
      <c r="D170" t="n">
        <v>9</v>
      </c>
      <c r="E170" t="inlineStr">
        <is>
          <t>BRA9</t>
        </is>
      </c>
      <c r="F170" t="inlineStr">
        <is>
          <t>Lucas Paquetá - Brazil</t>
        </is>
      </c>
      <c r="G170" t="inlineStr">
        <is>
          <t>Base</t>
        </is>
      </c>
      <c r="I170" t="n">
        <v>0</v>
      </c>
    </row>
    <row r="171" ht="20" customHeight="1">
      <c r="A171" t="inlineStr">
        <is>
          <t>Grupo C</t>
        </is>
      </c>
      <c r="B171" t="inlineStr">
        <is>
          <t>BRA</t>
        </is>
      </c>
      <c r="C171" t="inlineStr">
        <is>
          <t>Brazil</t>
        </is>
      </c>
      <c r="D171" t="n">
        <v>10</v>
      </c>
      <c r="E171" t="inlineStr">
        <is>
          <t>BRA10</t>
        </is>
      </c>
      <c r="F171" t="inlineStr">
        <is>
          <t>Casemiro - Brazil</t>
        </is>
      </c>
      <c r="G171" t="inlineStr">
        <is>
          <t>Base</t>
        </is>
      </c>
      <c r="I171" t="n">
        <v>0</v>
      </c>
    </row>
    <row r="172" ht="20" customHeight="1">
      <c r="A172" t="inlineStr">
        <is>
          <t>Grupo C</t>
        </is>
      </c>
      <c r="B172" t="inlineStr">
        <is>
          <t>BRA</t>
        </is>
      </c>
      <c r="C172" t="inlineStr">
        <is>
          <t>Brazil</t>
        </is>
      </c>
      <c r="D172" t="n">
        <v>11</v>
      </c>
      <c r="E172" t="inlineStr">
        <is>
          <t>BRA11</t>
        </is>
      </c>
      <c r="F172" t="inlineStr">
        <is>
          <t>Bruno Guimarães - Brazil</t>
        </is>
      </c>
      <c r="G172" t="inlineStr">
        <is>
          <t>Base</t>
        </is>
      </c>
      <c r="I172" t="n">
        <v>0</v>
      </c>
    </row>
    <row r="173" ht="20" customHeight="1">
      <c r="A173" t="inlineStr">
        <is>
          <t>Grupo C</t>
        </is>
      </c>
      <c r="B173" t="inlineStr">
        <is>
          <t>BRA</t>
        </is>
      </c>
      <c r="C173" t="inlineStr">
        <is>
          <t>Brazil</t>
        </is>
      </c>
      <c r="D173" t="n">
        <v>12</v>
      </c>
      <c r="E173" t="inlineStr">
        <is>
          <t>BRA12</t>
        </is>
      </c>
      <c r="F173" t="inlineStr">
        <is>
          <t>Luiz Henrique - Brazil</t>
        </is>
      </c>
      <c r="G173" t="inlineStr">
        <is>
          <t>Base</t>
        </is>
      </c>
      <c r="I173" t="n">
        <v>0</v>
      </c>
    </row>
    <row r="174" ht="20" customHeight="1">
      <c r="A174" t="inlineStr">
        <is>
          <t>Grupo C</t>
        </is>
      </c>
      <c r="B174" t="inlineStr">
        <is>
          <t>BRA</t>
        </is>
      </c>
      <c r="C174" t="inlineStr">
        <is>
          <t>Brazil</t>
        </is>
      </c>
      <c r="D174" t="n">
        <v>13</v>
      </c>
      <c r="E174" t="inlineStr">
        <is>
          <t>BRA13</t>
        </is>
      </c>
      <c r="F174" t="inlineStr">
        <is>
          <t>Team Photo - Brazil</t>
        </is>
      </c>
      <c r="G174" t="inlineStr">
        <is>
          <t>Base</t>
        </is>
      </c>
      <c r="I174" t="n">
        <v>0</v>
      </c>
    </row>
    <row r="175" ht="20" customHeight="1">
      <c r="A175" t="inlineStr">
        <is>
          <t>Grupo C</t>
        </is>
      </c>
      <c r="B175" t="inlineStr">
        <is>
          <t>BRA</t>
        </is>
      </c>
      <c r="C175" t="inlineStr">
        <is>
          <t>Brazil</t>
        </is>
      </c>
      <c r="D175" t="n">
        <v>14</v>
      </c>
      <c r="E175" t="inlineStr">
        <is>
          <t>BRA14</t>
        </is>
      </c>
      <c r="F175" t="inlineStr">
        <is>
          <t>Vinicius Júnior - Brazil</t>
        </is>
      </c>
      <c r="G175" t="inlineStr">
        <is>
          <t>Base</t>
        </is>
      </c>
      <c r="I175" t="n">
        <v>0</v>
      </c>
    </row>
    <row r="176" ht="20" customHeight="1">
      <c r="A176" t="inlineStr">
        <is>
          <t>Grupo C</t>
        </is>
      </c>
      <c r="B176" t="inlineStr">
        <is>
          <t>BRA</t>
        </is>
      </c>
      <c r="C176" t="inlineStr">
        <is>
          <t>Brazil</t>
        </is>
      </c>
      <c r="D176" t="n">
        <v>15</v>
      </c>
      <c r="E176" t="inlineStr">
        <is>
          <t>BRA15</t>
        </is>
      </c>
      <c r="F176" t="inlineStr">
        <is>
          <t>Rodrygo - Brazil</t>
        </is>
      </c>
      <c r="G176" t="inlineStr">
        <is>
          <t>Base</t>
        </is>
      </c>
      <c r="I176" t="n">
        <v>0</v>
      </c>
    </row>
    <row r="177" ht="20" customHeight="1">
      <c r="A177" t="inlineStr">
        <is>
          <t>Grupo C</t>
        </is>
      </c>
      <c r="B177" t="inlineStr">
        <is>
          <t>BRA</t>
        </is>
      </c>
      <c r="C177" t="inlineStr">
        <is>
          <t>Brazil</t>
        </is>
      </c>
      <c r="D177" t="n">
        <v>16</v>
      </c>
      <c r="E177" t="inlineStr">
        <is>
          <t>BRA16</t>
        </is>
      </c>
      <c r="F177" t="inlineStr">
        <is>
          <t>João Pedro - Brazil</t>
        </is>
      </c>
      <c r="G177" t="inlineStr">
        <is>
          <t>Base</t>
        </is>
      </c>
      <c r="I177" t="n">
        <v>0</v>
      </c>
    </row>
    <row r="178" ht="20" customHeight="1">
      <c r="A178" t="inlineStr">
        <is>
          <t>Grupo C</t>
        </is>
      </c>
      <c r="B178" t="inlineStr">
        <is>
          <t>BRA</t>
        </is>
      </c>
      <c r="C178" t="inlineStr">
        <is>
          <t>Brazil</t>
        </is>
      </c>
      <c r="D178" t="n">
        <v>17</v>
      </c>
      <c r="E178" t="inlineStr">
        <is>
          <t>BRA17</t>
        </is>
      </c>
      <c r="F178" t="inlineStr">
        <is>
          <t>Matheus Cunha - Brazil</t>
        </is>
      </c>
      <c r="G178" t="inlineStr">
        <is>
          <t>Base</t>
        </is>
      </c>
      <c r="I178" t="n">
        <v>0</v>
      </c>
    </row>
    <row r="179" ht="20" customHeight="1">
      <c r="A179" t="inlineStr">
        <is>
          <t>Grupo C</t>
        </is>
      </c>
      <c r="B179" t="inlineStr">
        <is>
          <t>BRA</t>
        </is>
      </c>
      <c r="C179" t="inlineStr">
        <is>
          <t>Brazil</t>
        </is>
      </c>
      <c r="D179" t="n">
        <v>18</v>
      </c>
      <c r="E179" t="inlineStr">
        <is>
          <t>BRA18</t>
        </is>
      </c>
      <c r="F179" t="inlineStr">
        <is>
          <t>Gabriel Martinelli - Brazil</t>
        </is>
      </c>
      <c r="G179" t="inlineStr">
        <is>
          <t>Base</t>
        </is>
      </c>
      <c r="I179" t="n">
        <v>0</v>
      </c>
    </row>
    <row r="180" ht="20" customHeight="1">
      <c r="A180" t="inlineStr">
        <is>
          <t>Grupo C</t>
        </is>
      </c>
      <c r="B180" t="inlineStr">
        <is>
          <t>BRA</t>
        </is>
      </c>
      <c r="C180" t="inlineStr">
        <is>
          <t>Brazil</t>
        </is>
      </c>
      <c r="D180" t="n">
        <v>19</v>
      </c>
      <c r="E180" t="inlineStr">
        <is>
          <t>BRA19</t>
        </is>
      </c>
      <c r="F180" t="inlineStr">
        <is>
          <t>Raphinha - Brazil</t>
        </is>
      </c>
      <c r="G180" t="inlineStr">
        <is>
          <t>Base</t>
        </is>
      </c>
      <c r="I180" t="n">
        <v>0</v>
      </c>
    </row>
    <row r="181" ht="20" customHeight="1">
      <c r="A181" t="inlineStr">
        <is>
          <t>Grupo C</t>
        </is>
      </c>
      <c r="B181" t="inlineStr">
        <is>
          <t>BRA</t>
        </is>
      </c>
      <c r="C181" t="inlineStr">
        <is>
          <t>Brazil</t>
        </is>
      </c>
      <c r="D181" t="n">
        <v>20</v>
      </c>
      <c r="E181" t="inlineStr">
        <is>
          <t>BRA20</t>
        </is>
      </c>
      <c r="F181" t="inlineStr">
        <is>
          <t>Estévão - Brazil</t>
        </is>
      </c>
      <c r="G181" t="inlineStr">
        <is>
          <t>Base</t>
        </is>
      </c>
      <c r="I181" t="n">
        <v>0</v>
      </c>
    </row>
    <row r="182" ht="20" customHeight="1">
      <c r="A182" t="inlineStr">
        <is>
          <t>Grupo C</t>
        </is>
      </c>
      <c r="B182" t="inlineStr">
        <is>
          <t>MAR</t>
        </is>
      </c>
      <c r="C182" t="inlineStr">
        <is>
          <t>Morocco</t>
        </is>
      </c>
      <c r="D182" t="n">
        <v>1</v>
      </c>
      <c r="E182" t="inlineStr">
        <is>
          <t>MAR1</t>
        </is>
      </c>
      <c r="F182" t="inlineStr">
        <is>
          <t>Team Logo - Morocco FOIL</t>
        </is>
      </c>
      <c r="G182" t="inlineStr">
        <is>
          <t>FOIL</t>
        </is>
      </c>
      <c r="I182" t="n">
        <v>0</v>
      </c>
    </row>
    <row r="183" ht="20" customHeight="1">
      <c r="A183" t="inlineStr">
        <is>
          <t>Grupo C</t>
        </is>
      </c>
      <c r="B183" t="inlineStr">
        <is>
          <t>MAR</t>
        </is>
      </c>
      <c r="C183" t="inlineStr">
        <is>
          <t>Morocco</t>
        </is>
      </c>
      <c r="D183" t="n">
        <v>2</v>
      </c>
      <c r="E183" t="inlineStr">
        <is>
          <t>MAR2</t>
        </is>
      </c>
      <c r="F183" t="inlineStr">
        <is>
          <t>Yassine Bounou - Morocco</t>
        </is>
      </c>
      <c r="G183" t="inlineStr">
        <is>
          <t>Base</t>
        </is>
      </c>
      <c r="I183" t="n">
        <v>0</v>
      </c>
    </row>
    <row r="184" ht="20" customHeight="1">
      <c r="A184" t="inlineStr">
        <is>
          <t>Grupo C</t>
        </is>
      </c>
      <c r="B184" t="inlineStr">
        <is>
          <t>MAR</t>
        </is>
      </c>
      <c r="C184" t="inlineStr">
        <is>
          <t>Morocco</t>
        </is>
      </c>
      <c r="D184" t="n">
        <v>3</v>
      </c>
      <c r="E184" t="inlineStr">
        <is>
          <t>MAR3</t>
        </is>
      </c>
      <c r="F184" t="inlineStr">
        <is>
          <t>Munir El Kajoui - Morocco</t>
        </is>
      </c>
      <c r="G184" t="inlineStr">
        <is>
          <t>Base</t>
        </is>
      </c>
      <c r="I184" t="n">
        <v>0</v>
      </c>
    </row>
    <row r="185" ht="20" customHeight="1">
      <c r="A185" t="inlineStr">
        <is>
          <t>Grupo C</t>
        </is>
      </c>
      <c r="B185" t="inlineStr">
        <is>
          <t>MAR</t>
        </is>
      </c>
      <c r="C185" t="inlineStr">
        <is>
          <t>Morocco</t>
        </is>
      </c>
      <c r="D185" t="n">
        <v>4</v>
      </c>
      <c r="E185" t="inlineStr">
        <is>
          <t>MAR4</t>
        </is>
      </c>
      <c r="F185" t="inlineStr">
        <is>
          <t>Achraf Hakimi - Morocco</t>
        </is>
      </c>
      <c r="G185" t="inlineStr">
        <is>
          <t>Base</t>
        </is>
      </c>
      <c r="I185" t="n">
        <v>0</v>
      </c>
    </row>
    <row r="186" ht="20" customHeight="1">
      <c r="A186" t="inlineStr">
        <is>
          <t>Grupo C</t>
        </is>
      </c>
      <c r="B186" t="inlineStr">
        <is>
          <t>MAR</t>
        </is>
      </c>
      <c r="C186" t="inlineStr">
        <is>
          <t>Morocco</t>
        </is>
      </c>
      <c r="D186" t="n">
        <v>5</v>
      </c>
      <c r="E186" t="inlineStr">
        <is>
          <t>MAR5</t>
        </is>
      </c>
      <c r="F186" t="inlineStr">
        <is>
          <t>Noussair Mazraoui - Morocco</t>
        </is>
      </c>
      <c r="G186" t="inlineStr">
        <is>
          <t>Base</t>
        </is>
      </c>
      <c r="I186" t="n">
        <v>0</v>
      </c>
    </row>
    <row r="187" ht="20" customHeight="1">
      <c r="A187" t="inlineStr">
        <is>
          <t>Grupo C</t>
        </is>
      </c>
      <c r="B187" t="inlineStr">
        <is>
          <t>MAR</t>
        </is>
      </c>
      <c r="C187" t="inlineStr">
        <is>
          <t>Morocco</t>
        </is>
      </c>
      <c r="D187" t="n">
        <v>6</v>
      </c>
      <c r="E187" t="inlineStr">
        <is>
          <t>MAR6</t>
        </is>
      </c>
      <c r="F187" t="inlineStr">
        <is>
          <t>Nayef Aguerd - Morocco</t>
        </is>
      </c>
      <c r="G187" t="inlineStr">
        <is>
          <t>Base</t>
        </is>
      </c>
      <c r="I187" t="n">
        <v>0</v>
      </c>
    </row>
    <row r="188" ht="20" customHeight="1">
      <c r="A188" t="inlineStr">
        <is>
          <t>Grupo C</t>
        </is>
      </c>
      <c r="B188" t="inlineStr">
        <is>
          <t>MAR</t>
        </is>
      </c>
      <c r="C188" t="inlineStr">
        <is>
          <t>Morocco</t>
        </is>
      </c>
      <c r="D188" t="n">
        <v>7</v>
      </c>
      <c r="E188" t="inlineStr">
        <is>
          <t>MAR7</t>
        </is>
      </c>
      <c r="F188" t="inlineStr">
        <is>
          <t>Roman Saiss - Morocco</t>
        </is>
      </c>
      <c r="G188" t="inlineStr">
        <is>
          <t>Base</t>
        </is>
      </c>
      <c r="I188" t="n">
        <v>0</v>
      </c>
    </row>
    <row r="189" ht="20" customHeight="1">
      <c r="A189" t="inlineStr">
        <is>
          <t>Grupo C</t>
        </is>
      </c>
      <c r="B189" t="inlineStr">
        <is>
          <t>MAR</t>
        </is>
      </c>
      <c r="C189" t="inlineStr">
        <is>
          <t>Morocco</t>
        </is>
      </c>
      <c r="D189" t="n">
        <v>8</v>
      </c>
      <c r="E189" t="inlineStr">
        <is>
          <t>MAR8</t>
        </is>
      </c>
      <c r="F189" t="inlineStr">
        <is>
          <t>Jawad El Yamio - Morocco</t>
        </is>
      </c>
      <c r="G189" t="inlineStr">
        <is>
          <t>Base</t>
        </is>
      </c>
      <c r="I189" t="n">
        <v>0</v>
      </c>
    </row>
    <row r="190" ht="20" customHeight="1">
      <c r="A190" t="inlineStr">
        <is>
          <t>Grupo C</t>
        </is>
      </c>
      <c r="B190" t="inlineStr">
        <is>
          <t>MAR</t>
        </is>
      </c>
      <c r="C190" t="inlineStr">
        <is>
          <t>Morocco</t>
        </is>
      </c>
      <c r="D190" t="n">
        <v>9</v>
      </c>
      <c r="E190" t="inlineStr">
        <is>
          <t>MAR9</t>
        </is>
      </c>
      <c r="F190" t="inlineStr">
        <is>
          <t>Adam Masina - Morocco</t>
        </is>
      </c>
      <c r="G190" t="inlineStr">
        <is>
          <t>Base</t>
        </is>
      </c>
      <c r="I190" t="n">
        <v>0</v>
      </c>
    </row>
    <row r="191" ht="20" customHeight="1">
      <c r="A191" t="inlineStr">
        <is>
          <t>Grupo C</t>
        </is>
      </c>
      <c r="B191" t="inlineStr">
        <is>
          <t>MAR</t>
        </is>
      </c>
      <c r="C191" t="inlineStr">
        <is>
          <t>Morocco</t>
        </is>
      </c>
      <c r="D191" t="n">
        <v>10</v>
      </c>
      <c r="E191" t="inlineStr">
        <is>
          <t>MAR10</t>
        </is>
      </c>
      <c r="F191" t="inlineStr">
        <is>
          <t>Sofyan Amrabat - Morocco</t>
        </is>
      </c>
      <c r="G191" t="inlineStr">
        <is>
          <t>Base</t>
        </is>
      </c>
      <c r="I191" t="n">
        <v>0</v>
      </c>
    </row>
    <row r="192" ht="20" customHeight="1">
      <c r="A192" t="inlineStr">
        <is>
          <t>Grupo C</t>
        </is>
      </c>
      <c r="B192" t="inlineStr">
        <is>
          <t>MAR</t>
        </is>
      </c>
      <c r="C192" t="inlineStr">
        <is>
          <t>Morocco</t>
        </is>
      </c>
      <c r="D192" t="n">
        <v>11</v>
      </c>
      <c r="E192" t="inlineStr">
        <is>
          <t>MAR11</t>
        </is>
      </c>
      <c r="F192" t="inlineStr">
        <is>
          <t>Azzedine Ounahi - Morocco</t>
        </is>
      </c>
      <c r="G192" t="inlineStr">
        <is>
          <t>Base</t>
        </is>
      </c>
      <c r="I192" t="n">
        <v>0</v>
      </c>
    </row>
    <row r="193" ht="20" customHeight="1">
      <c r="A193" t="inlineStr">
        <is>
          <t>Grupo C</t>
        </is>
      </c>
      <c r="B193" t="inlineStr">
        <is>
          <t>MAR</t>
        </is>
      </c>
      <c r="C193" t="inlineStr">
        <is>
          <t>Morocco</t>
        </is>
      </c>
      <c r="D193" t="n">
        <v>12</v>
      </c>
      <c r="E193" t="inlineStr">
        <is>
          <t>MAR12</t>
        </is>
      </c>
      <c r="F193" t="inlineStr">
        <is>
          <t>Eliesse Ben Seghir - Morocco</t>
        </is>
      </c>
      <c r="G193" t="inlineStr">
        <is>
          <t>Base</t>
        </is>
      </c>
      <c r="I193" t="n">
        <v>0</v>
      </c>
    </row>
    <row r="194" ht="20" customHeight="1">
      <c r="A194" t="inlineStr">
        <is>
          <t>Grupo C</t>
        </is>
      </c>
      <c r="B194" t="inlineStr">
        <is>
          <t>MAR</t>
        </is>
      </c>
      <c r="C194" t="inlineStr">
        <is>
          <t>Morocco</t>
        </is>
      </c>
      <c r="D194" t="n">
        <v>13</v>
      </c>
      <c r="E194" t="inlineStr">
        <is>
          <t>MAR13</t>
        </is>
      </c>
      <c r="F194" t="inlineStr">
        <is>
          <t>Team Photo - Morocco</t>
        </is>
      </c>
      <c r="G194" t="inlineStr">
        <is>
          <t>Base</t>
        </is>
      </c>
      <c r="I194" t="n">
        <v>0</v>
      </c>
    </row>
    <row r="195" ht="20" customHeight="1">
      <c r="A195" t="inlineStr">
        <is>
          <t>Grupo C</t>
        </is>
      </c>
      <c r="B195" t="inlineStr">
        <is>
          <t>MAR</t>
        </is>
      </c>
      <c r="C195" t="inlineStr">
        <is>
          <t>Morocco</t>
        </is>
      </c>
      <c r="D195" t="n">
        <v>14</v>
      </c>
      <c r="E195" t="inlineStr">
        <is>
          <t>MAR14</t>
        </is>
      </c>
      <c r="F195" t="inlineStr">
        <is>
          <t>Bilal El Khannouss - Morocco</t>
        </is>
      </c>
      <c r="G195" t="inlineStr">
        <is>
          <t>Base</t>
        </is>
      </c>
      <c r="I195" t="n">
        <v>0</v>
      </c>
    </row>
    <row r="196" ht="20" customHeight="1">
      <c r="A196" t="inlineStr">
        <is>
          <t>Grupo C</t>
        </is>
      </c>
      <c r="B196" t="inlineStr">
        <is>
          <t>MAR</t>
        </is>
      </c>
      <c r="C196" t="inlineStr">
        <is>
          <t>Morocco</t>
        </is>
      </c>
      <c r="D196" t="n">
        <v>15</v>
      </c>
      <c r="E196" t="inlineStr">
        <is>
          <t>MAR15</t>
        </is>
      </c>
      <c r="F196" t="inlineStr">
        <is>
          <t>Ismael Saibari - Morocco</t>
        </is>
      </c>
      <c r="G196" t="inlineStr">
        <is>
          <t>Base</t>
        </is>
      </c>
      <c r="I196" t="n">
        <v>0</v>
      </c>
    </row>
    <row r="197" ht="20" customHeight="1">
      <c r="A197" t="inlineStr">
        <is>
          <t>Grupo C</t>
        </is>
      </c>
      <c r="B197" t="inlineStr">
        <is>
          <t>MAR</t>
        </is>
      </c>
      <c r="C197" t="inlineStr">
        <is>
          <t>Morocco</t>
        </is>
      </c>
      <c r="D197" t="n">
        <v>16</v>
      </c>
      <c r="E197" t="inlineStr">
        <is>
          <t>MAR16</t>
        </is>
      </c>
      <c r="F197" t="inlineStr">
        <is>
          <t>Youssef En-Nesyri - Morocco</t>
        </is>
      </c>
      <c r="G197" t="inlineStr">
        <is>
          <t>Base</t>
        </is>
      </c>
      <c r="I197" t="n">
        <v>0</v>
      </c>
    </row>
    <row r="198" ht="20" customHeight="1">
      <c r="A198" t="inlineStr">
        <is>
          <t>Grupo C</t>
        </is>
      </c>
      <c r="B198" t="inlineStr">
        <is>
          <t>MAR</t>
        </is>
      </c>
      <c r="C198" t="inlineStr">
        <is>
          <t>Morocco</t>
        </is>
      </c>
      <c r="D198" t="n">
        <v>17</v>
      </c>
      <c r="E198" t="inlineStr">
        <is>
          <t>MAR17</t>
        </is>
      </c>
      <c r="F198" t="inlineStr">
        <is>
          <t>Abde Ezzalzouli - Morocco</t>
        </is>
      </c>
      <c r="G198" t="inlineStr">
        <is>
          <t>Base</t>
        </is>
      </c>
      <c r="I198" t="n">
        <v>0</v>
      </c>
    </row>
    <row r="199" ht="20" customHeight="1">
      <c r="A199" t="inlineStr">
        <is>
          <t>Grupo C</t>
        </is>
      </c>
      <c r="B199" t="inlineStr">
        <is>
          <t>MAR</t>
        </is>
      </c>
      <c r="C199" t="inlineStr">
        <is>
          <t>Morocco</t>
        </is>
      </c>
      <c r="D199" t="n">
        <v>18</v>
      </c>
      <c r="E199" t="inlineStr">
        <is>
          <t>MAR18</t>
        </is>
      </c>
      <c r="F199" t="inlineStr">
        <is>
          <t>Soufiane Rahimi - Morocco</t>
        </is>
      </c>
      <c r="G199" t="inlineStr">
        <is>
          <t>Base</t>
        </is>
      </c>
      <c r="I199" t="n">
        <v>0</v>
      </c>
    </row>
    <row r="200" ht="20" customHeight="1">
      <c r="A200" t="inlineStr">
        <is>
          <t>Grupo C</t>
        </is>
      </c>
      <c r="B200" t="inlineStr">
        <is>
          <t>MAR</t>
        </is>
      </c>
      <c r="C200" t="inlineStr">
        <is>
          <t>Morocco</t>
        </is>
      </c>
      <c r="D200" t="n">
        <v>19</v>
      </c>
      <c r="E200" t="inlineStr">
        <is>
          <t>MAR19</t>
        </is>
      </c>
      <c r="F200" t="inlineStr">
        <is>
          <t>Brahim Diaz - Morocco</t>
        </is>
      </c>
      <c r="G200" t="inlineStr">
        <is>
          <t>Base</t>
        </is>
      </c>
      <c r="I200" t="n">
        <v>0</v>
      </c>
    </row>
    <row r="201" ht="20" customHeight="1">
      <c r="A201" t="inlineStr">
        <is>
          <t>Grupo C</t>
        </is>
      </c>
      <c r="B201" t="inlineStr">
        <is>
          <t>MAR</t>
        </is>
      </c>
      <c r="C201" t="inlineStr">
        <is>
          <t>Morocco</t>
        </is>
      </c>
      <c r="D201" t="n">
        <v>20</v>
      </c>
      <c r="E201" t="inlineStr">
        <is>
          <t>MAR20</t>
        </is>
      </c>
      <c r="F201" t="inlineStr">
        <is>
          <t>Ayoub El Kaabi - Morocco</t>
        </is>
      </c>
      <c r="G201" t="inlineStr">
        <is>
          <t>Base</t>
        </is>
      </c>
      <c r="I201" t="n">
        <v>0</v>
      </c>
    </row>
    <row r="202" ht="20" customHeight="1">
      <c r="A202" t="inlineStr">
        <is>
          <t>Grupo C</t>
        </is>
      </c>
      <c r="B202" t="inlineStr">
        <is>
          <t>HAI</t>
        </is>
      </c>
      <c r="C202" t="inlineStr">
        <is>
          <t>Haiti</t>
        </is>
      </c>
      <c r="D202" t="n">
        <v>1</v>
      </c>
      <c r="E202" t="inlineStr">
        <is>
          <t>HAI1</t>
        </is>
      </c>
      <c r="F202" t="inlineStr">
        <is>
          <t>Team Logo - Haiti FOIL</t>
        </is>
      </c>
      <c r="G202" t="inlineStr">
        <is>
          <t>FOIL</t>
        </is>
      </c>
      <c r="I202" t="n">
        <v>0</v>
      </c>
    </row>
    <row r="203" ht="20" customHeight="1">
      <c r="A203" t="inlineStr">
        <is>
          <t>Grupo C</t>
        </is>
      </c>
      <c r="B203" t="inlineStr">
        <is>
          <t>HAI</t>
        </is>
      </c>
      <c r="C203" t="inlineStr">
        <is>
          <t>Haiti</t>
        </is>
      </c>
      <c r="D203" t="n">
        <v>2</v>
      </c>
      <c r="E203" t="inlineStr">
        <is>
          <t>HAI2</t>
        </is>
      </c>
      <c r="F203" t="inlineStr">
        <is>
          <t>Johny Placide - Haiti</t>
        </is>
      </c>
      <c r="G203" t="inlineStr">
        <is>
          <t>Base</t>
        </is>
      </c>
      <c r="I203" t="n">
        <v>0</v>
      </c>
    </row>
    <row r="204" ht="20" customHeight="1">
      <c r="A204" t="inlineStr">
        <is>
          <t>Grupo C</t>
        </is>
      </c>
      <c r="B204" t="inlineStr">
        <is>
          <t>HAI</t>
        </is>
      </c>
      <c r="C204" t="inlineStr">
        <is>
          <t>Haiti</t>
        </is>
      </c>
      <c r="D204" t="n">
        <v>3</v>
      </c>
      <c r="E204" t="inlineStr">
        <is>
          <t>HAI3</t>
        </is>
      </c>
      <c r="F204" t="inlineStr">
        <is>
          <t>Carlens Arcus - Haiti</t>
        </is>
      </c>
      <c r="G204" t="inlineStr">
        <is>
          <t>Base</t>
        </is>
      </c>
      <c r="I204" t="n">
        <v>0</v>
      </c>
    </row>
    <row r="205" ht="20" customHeight="1">
      <c r="A205" t="inlineStr">
        <is>
          <t>Grupo C</t>
        </is>
      </c>
      <c r="B205" t="inlineStr">
        <is>
          <t>HAI</t>
        </is>
      </c>
      <c r="C205" t="inlineStr">
        <is>
          <t>Haiti</t>
        </is>
      </c>
      <c r="D205" t="n">
        <v>4</v>
      </c>
      <c r="E205" t="inlineStr">
        <is>
          <t>HAI4</t>
        </is>
      </c>
      <c r="F205" t="inlineStr">
        <is>
          <t>Martin Expérience - Haiti</t>
        </is>
      </c>
      <c r="G205" t="inlineStr">
        <is>
          <t>Base</t>
        </is>
      </c>
      <c r="I205" t="n">
        <v>0</v>
      </c>
    </row>
    <row r="206" ht="20" customHeight="1">
      <c r="A206" t="inlineStr">
        <is>
          <t>Grupo C</t>
        </is>
      </c>
      <c r="B206" t="inlineStr">
        <is>
          <t>HAI</t>
        </is>
      </c>
      <c r="C206" t="inlineStr">
        <is>
          <t>Haiti</t>
        </is>
      </c>
      <c r="D206" t="n">
        <v>5</v>
      </c>
      <c r="E206" t="inlineStr">
        <is>
          <t>HAI5</t>
        </is>
      </c>
      <c r="F206" t="inlineStr">
        <is>
          <t>Jean-Kevin Duverne - Haiti</t>
        </is>
      </c>
      <c r="G206" t="inlineStr">
        <is>
          <t>Base</t>
        </is>
      </c>
      <c r="I206" t="n">
        <v>0</v>
      </c>
    </row>
    <row r="207" ht="20" customHeight="1">
      <c r="A207" t="inlineStr">
        <is>
          <t>Grupo C</t>
        </is>
      </c>
      <c r="B207" t="inlineStr">
        <is>
          <t>HAI</t>
        </is>
      </c>
      <c r="C207" t="inlineStr">
        <is>
          <t>Haiti</t>
        </is>
      </c>
      <c r="D207" t="n">
        <v>6</v>
      </c>
      <c r="E207" t="inlineStr">
        <is>
          <t>HAI6</t>
        </is>
      </c>
      <c r="F207" t="inlineStr">
        <is>
          <t>Ricardo Adé - Haiti</t>
        </is>
      </c>
      <c r="G207" t="inlineStr">
        <is>
          <t>Base</t>
        </is>
      </c>
      <c r="I207" t="n">
        <v>0</v>
      </c>
    </row>
    <row r="208" ht="20" customHeight="1">
      <c r="A208" t="inlineStr">
        <is>
          <t>Grupo C</t>
        </is>
      </c>
      <c r="B208" t="inlineStr">
        <is>
          <t>HAI</t>
        </is>
      </c>
      <c r="C208" t="inlineStr">
        <is>
          <t>Haiti</t>
        </is>
      </c>
      <c r="D208" t="n">
        <v>7</v>
      </c>
      <c r="E208" t="inlineStr">
        <is>
          <t>HAI7</t>
        </is>
      </c>
      <c r="F208" t="inlineStr">
        <is>
          <t>Duke Lacroix - Haiti</t>
        </is>
      </c>
      <c r="G208" t="inlineStr">
        <is>
          <t>Base</t>
        </is>
      </c>
      <c r="I208" t="n">
        <v>0</v>
      </c>
    </row>
    <row r="209" ht="20" customHeight="1">
      <c r="A209" t="inlineStr">
        <is>
          <t>Grupo C</t>
        </is>
      </c>
      <c r="B209" t="inlineStr">
        <is>
          <t>HAI</t>
        </is>
      </c>
      <c r="C209" t="inlineStr">
        <is>
          <t>Haiti</t>
        </is>
      </c>
      <c r="D209" t="n">
        <v>8</v>
      </c>
      <c r="E209" t="inlineStr">
        <is>
          <t>HAI8</t>
        </is>
      </c>
      <c r="F209" t="inlineStr">
        <is>
          <t>Garven Metusala - Haiti</t>
        </is>
      </c>
      <c r="G209" t="inlineStr">
        <is>
          <t>Base</t>
        </is>
      </c>
      <c r="I209" t="n">
        <v>0</v>
      </c>
    </row>
    <row r="210" ht="20" customHeight="1">
      <c r="A210" t="inlineStr">
        <is>
          <t>Grupo C</t>
        </is>
      </c>
      <c r="B210" t="inlineStr">
        <is>
          <t>HAI</t>
        </is>
      </c>
      <c r="C210" t="inlineStr">
        <is>
          <t>Haiti</t>
        </is>
      </c>
      <c r="D210" t="n">
        <v>9</v>
      </c>
      <c r="E210" t="inlineStr">
        <is>
          <t>HAI9</t>
        </is>
      </c>
      <c r="F210" t="inlineStr">
        <is>
          <t>Hannes Delcroix - Haiti</t>
        </is>
      </c>
      <c r="G210" t="inlineStr">
        <is>
          <t>Base</t>
        </is>
      </c>
      <c r="I210" t="n">
        <v>0</v>
      </c>
    </row>
    <row r="211" ht="20" customHeight="1">
      <c r="A211" t="inlineStr">
        <is>
          <t>Grupo C</t>
        </is>
      </c>
      <c r="B211" t="inlineStr">
        <is>
          <t>HAI</t>
        </is>
      </c>
      <c r="C211" t="inlineStr">
        <is>
          <t>Haiti</t>
        </is>
      </c>
      <c r="D211" t="n">
        <v>10</v>
      </c>
      <c r="E211" t="inlineStr">
        <is>
          <t>HAI10</t>
        </is>
      </c>
      <c r="F211" t="inlineStr">
        <is>
          <t>Leverton Pierre - Haiti</t>
        </is>
      </c>
      <c r="G211" t="inlineStr">
        <is>
          <t>Base</t>
        </is>
      </c>
      <c r="I211" t="n">
        <v>0</v>
      </c>
    </row>
    <row r="212" ht="20" customHeight="1">
      <c r="A212" t="inlineStr">
        <is>
          <t>Grupo C</t>
        </is>
      </c>
      <c r="B212" t="inlineStr">
        <is>
          <t>HAI</t>
        </is>
      </c>
      <c r="C212" t="inlineStr">
        <is>
          <t>Haiti</t>
        </is>
      </c>
      <c r="D212" t="n">
        <v>11</v>
      </c>
      <c r="E212" t="inlineStr">
        <is>
          <t>HAI11</t>
        </is>
      </c>
      <c r="F212" t="inlineStr">
        <is>
          <t>Danley Jean Jacques - Haiti</t>
        </is>
      </c>
      <c r="G212" t="inlineStr">
        <is>
          <t>Base</t>
        </is>
      </c>
      <c r="I212" t="n">
        <v>0</v>
      </c>
    </row>
    <row r="213" ht="20" customHeight="1">
      <c r="A213" t="inlineStr">
        <is>
          <t>Grupo C</t>
        </is>
      </c>
      <c r="B213" t="inlineStr">
        <is>
          <t>HAI</t>
        </is>
      </c>
      <c r="C213" t="inlineStr">
        <is>
          <t>Haiti</t>
        </is>
      </c>
      <c r="D213" t="n">
        <v>12</v>
      </c>
      <c r="E213" t="inlineStr">
        <is>
          <t>HAI12</t>
        </is>
      </c>
      <c r="F213" t="inlineStr">
        <is>
          <t>Jean-Ricner Bellegarde - Haiti</t>
        </is>
      </c>
      <c r="G213" t="inlineStr">
        <is>
          <t>Base</t>
        </is>
      </c>
      <c r="I213" t="n">
        <v>0</v>
      </c>
    </row>
    <row r="214" ht="20" customHeight="1">
      <c r="A214" t="inlineStr">
        <is>
          <t>Grupo C</t>
        </is>
      </c>
      <c r="B214" t="inlineStr">
        <is>
          <t>HAI</t>
        </is>
      </c>
      <c r="C214" t="inlineStr">
        <is>
          <t>Haiti</t>
        </is>
      </c>
      <c r="D214" t="n">
        <v>13</v>
      </c>
      <c r="E214" t="inlineStr">
        <is>
          <t>HAI13</t>
        </is>
      </c>
      <c r="F214" t="inlineStr">
        <is>
          <t>Team Photo - Haiti</t>
        </is>
      </c>
      <c r="G214" t="inlineStr">
        <is>
          <t>Base</t>
        </is>
      </c>
      <c r="I214" t="n">
        <v>0</v>
      </c>
    </row>
    <row r="215" ht="20" customHeight="1">
      <c r="A215" t="inlineStr">
        <is>
          <t>Grupo C</t>
        </is>
      </c>
      <c r="B215" t="inlineStr">
        <is>
          <t>HAI</t>
        </is>
      </c>
      <c r="C215" t="inlineStr">
        <is>
          <t>Haiti</t>
        </is>
      </c>
      <c r="D215" t="n">
        <v>14</v>
      </c>
      <c r="E215" t="inlineStr">
        <is>
          <t>HAI14</t>
        </is>
      </c>
      <c r="F215" t="inlineStr">
        <is>
          <t>Christopher Attys - Haiti</t>
        </is>
      </c>
      <c r="G215" t="inlineStr">
        <is>
          <t>Base</t>
        </is>
      </c>
      <c r="I215" t="n">
        <v>0</v>
      </c>
    </row>
    <row r="216" ht="20" customHeight="1">
      <c r="A216" t="inlineStr">
        <is>
          <t>Grupo C</t>
        </is>
      </c>
      <c r="B216" t="inlineStr">
        <is>
          <t>HAI</t>
        </is>
      </c>
      <c r="C216" t="inlineStr">
        <is>
          <t>Haiti</t>
        </is>
      </c>
      <c r="D216" t="n">
        <v>15</v>
      </c>
      <c r="E216" t="inlineStr">
        <is>
          <t>HAI15</t>
        </is>
      </c>
      <c r="F216" t="inlineStr">
        <is>
          <t>Derrick Etienne Jr - Haiti</t>
        </is>
      </c>
      <c r="G216" t="inlineStr">
        <is>
          <t>Base</t>
        </is>
      </c>
      <c r="I216" t="n">
        <v>0</v>
      </c>
    </row>
    <row r="217" ht="20" customHeight="1">
      <c r="A217" t="inlineStr">
        <is>
          <t>Grupo C</t>
        </is>
      </c>
      <c r="B217" t="inlineStr">
        <is>
          <t>HAI</t>
        </is>
      </c>
      <c r="C217" t="inlineStr">
        <is>
          <t>Haiti</t>
        </is>
      </c>
      <c r="D217" t="n">
        <v>16</v>
      </c>
      <c r="E217" t="inlineStr">
        <is>
          <t>HAI16</t>
        </is>
      </c>
      <c r="F217" t="inlineStr">
        <is>
          <t>Josue Casimir - Haiti</t>
        </is>
      </c>
      <c r="G217" t="inlineStr">
        <is>
          <t>Base</t>
        </is>
      </c>
      <c r="I217" t="n">
        <v>0</v>
      </c>
    </row>
    <row r="218" ht="20" customHeight="1">
      <c r="A218" t="inlineStr">
        <is>
          <t>Grupo C</t>
        </is>
      </c>
      <c r="B218" t="inlineStr">
        <is>
          <t>HAI</t>
        </is>
      </c>
      <c r="C218" t="inlineStr">
        <is>
          <t>Haiti</t>
        </is>
      </c>
      <c r="D218" t="n">
        <v>17</v>
      </c>
      <c r="E218" t="inlineStr">
        <is>
          <t>HAI17</t>
        </is>
      </c>
      <c r="F218" t="inlineStr">
        <is>
          <t>Ruben Providence - Haiti</t>
        </is>
      </c>
      <c r="G218" t="inlineStr">
        <is>
          <t>Base</t>
        </is>
      </c>
      <c r="I218" t="n">
        <v>0</v>
      </c>
    </row>
    <row r="219" ht="20" customHeight="1">
      <c r="A219" t="inlineStr">
        <is>
          <t>Grupo C</t>
        </is>
      </c>
      <c r="B219" t="inlineStr">
        <is>
          <t>HAI</t>
        </is>
      </c>
      <c r="C219" t="inlineStr">
        <is>
          <t>Haiti</t>
        </is>
      </c>
      <c r="D219" t="n">
        <v>18</v>
      </c>
      <c r="E219" t="inlineStr">
        <is>
          <t>HAI18</t>
        </is>
      </c>
      <c r="F219" t="inlineStr">
        <is>
          <t>Duckens Nazon - Haiti</t>
        </is>
      </c>
      <c r="G219" t="inlineStr">
        <is>
          <t>Base</t>
        </is>
      </c>
      <c r="I219" t="n">
        <v>0</v>
      </c>
    </row>
    <row r="220" ht="20" customHeight="1">
      <c r="A220" t="inlineStr">
        <is>
          <t>Grupo C</t>
        </is>
      </c>
      <c r="B220" t="inlineStr">
        <is>
          <t>HAI</t>
        </is>
      </c>
      <c r="C220" t="inlineStr">
        <is>
          <t>Haiti</t>
        </is>
      </c>
      <c r="D220" t="n">
        <v>19</v>
      </c>
      <c r="E220" t="inlineStr">
        <is>
          <t>HAI19</t>
        </is>
      </c>
      <c r="F220" t="inlineStr">
        <is>
          <t>Louicius Deedson - Haiti</t>
        </is>
      </c>
      <c r="G220" t="inlineStr">
        <is>
          <t>Base</t>
        </is>
      </c>
      <c r="I220" t="n">
        <v>0</v>
      </c>
    </row>
    <row r="221" ht="20" customHeight="1">
      <c r="A221" t="inlineStr">
        <is>
          <t>Grupo C</t>
        </is>
      </c>
      <c r="B221" t="inlineStr">
        <is>
          <t>HAI</t>
        </is>
      </c>
      <c r="C221" t="inlineStr">
        <is>
          <t>Haiti</t>
        </is>
      </c>
      <c r="D221" t="n">
        <v>20</v>
      </c>
      <c r="E221" t="inlineStr">
        <is>
          <t>HAI20</t>
        </is>
      </c>
      <c r="F221" t="inlineStr">
        <is>
          <t>Frantzdy Pierrot - Haiti</t>
        </is>
      </c>
      <c r="G221" t="inlineStr">
        <is>
          <t>Base</t>
        </is>
      </c>
      <c r="I221" t="n">
        <v>0</v>
      </c>
    </row>
    <row r="222" ht="20" customHeight="1">
      <c r="A222" t="inlineStr">
        <is>
          <t>Grupo C</t>
        </is>
      </c>
      <c r="B222" t="inlineStr">
        <is>
          <t>SCO</t>
        </is>
      </c>
      <c r="C222" t="inlineStr">
        <is>
          <t>Scotland</t>
        </is>
      </c>
      <c r="D222" t="n">
        <v>1</v>
      </c>
      <c r="E222" t="inlineStr">
        <is>
          <t>SCO1</t>
        </is>
      </c>
      <c r="F222" t="inlineStr">
        <is>
          <t>Team Logo - Scotland FOIL</t>
        </is>
      </c>
      <c r="G222" t="inlineStr">
        <is>
          <t>FOIL</t>
        </is>
      </c>
      <c r="I222" t="n">
        <v>0</v>
      </c>
    </row>
    <row r="223" ht="20" customHeight="1">
      <c r="A223" t="inlineStr">
        <is>
          <t>Grupo C</t>
        </is>
      </c>
      <c r="B223" t="inlineStr">
        <is>
          <t>SCO</t>
        </is>
      </c>
      <c r="C223" t="inlineStr">
        <is>
          <t>Scotland</t>
        </is>
      </c>
      <c r="D223" t="n">
        <v>2</v>
      </c>
      <c r="E223" t="inlineStr">
        <is>
          <t>SCO2</t>
        </is>
      </c>
      <c r="F223" t="inlineStr">
        <is>
          <t>Angus Gunn - Scotland</t>
        </is>
      </c>
      <c r="G223" t="inlineStr">
        <is>
          <t>Base</t>
        </is>
      </c>
      <c r="I223" t="n">
        <v>0</v>
      </c>
    </row>
    <row r="224" ht="20" customHeight="1">
      <c r="A224" t="inlineStr">
        <is>
          <t>Grupo C</t>
        </is>
      </c>
      <c r="B224" t="inlineStr">
        <is>
          <t>SCO</t>
        </is>
      </c>
      <c r="C224" t="inlineStr">
        <is>
          <t>Scotland</t>
        </is>
      </c>
      <c r="D224" t="n">
        <v>3</v>
      </c>
      <c r="E224" t="inlineStr">
        <is>
          <t>SCO3</t>
        </is>
      </c>
      <c r="F224" t="inlineStr">
        <is>
          <t>Jack Hendry - Scotland</t>
        </is>
      </c>
      <c r="G224" t="inlineStr">
        <is>
          <t>Base</t>
        </is>
      </c>
      <c r="I224" t="n">
        <v>0</v>
      </c>
    </row>
    <row r="225" ht="20" customHeight="1">
      <c r="A225" t="inlineStr">
        <is>
          <t>Grupo C</t>
        </is>
      </c>
      <c r="B225" t="inlineStr">
        <is>
          <t>SCO</t>
        </is>
      </c>
      <c r="C225" t="inlineStr">
        <is>
          <t>Scotland</t>
        </is>
      </c>
      <c r="D225" t="n">
        <v>4</v>
      </c>
      <c r="E225" t="inlineStr">
        <is>
          <t>SCO4</t>
        </is>
      </c>
      <c r="F225" t="inlineStr">
        <is>
          <t>Kieran Tierney - Scotland</t>
        </is>
      </c>
      <c r="G225" t="inlineStr">
        <is>
          <t>Base</t>
        </is>
      </c>
      <c r="I225" t="n">
        <v>0</v>
      </c>
    </row>
    <row r="226" ht="20" customHeight="1">
      <c r="A226" t="inlineStr">
        <is>
          <t>Grupo C</t>
        </is>
      </c>
      <c r="B226" t="inlineStr">
        <is>
          <t>SCO</t>
        </is>
      </c>
      <c r="C226" t="inlineStr">
        <is>
          <t>Scotland</t>
        </is>
      </c>
      <c r="D226" t="n">
        <v>5</v>
      </c>
      <c r="E226" t="inlineStr">
        <is>
          <t>SCO5</t>
        </is>
      </c>
      <c r="F226" t="inlineStr">
        <is>
          <t>Aaron Hickey - Scotland</t>
        </is>
      </c>
      <c r="G226" t="inlineStr">
        <is>
          <t>Base</t>
        </is>
      </c>
      <c r="I226" t="n">
        <v>0</v>
      </c>
    </row>
    <row r="227" ht="20" customHeight="1">
      <c r="A227" t="inlineStr">
        <is>
          <t>Grupo C</t>
        </is>
      </c>
      <c r="B227" t="inlineStr">
        <is>
          <t>SCO</t>
        </is>
      </c>
      <c r="C227" t="inlineStr">
        <is>
          <t>Scotland</t>
        </is>
      </c>
      <c r="D227" t="n">
        <v>6</v>
      </c>
      <c r="E227" t="inlineStr">
        <is>
          <t>SCO6</t>
        </is>
      </c>
      <c r="F227" t="inlineStr">
        <is>
          <t>Andrew Robertson - Scotland</t>
        </is>
      </c>
      <c r="G227" t="inlineStr">
        <is>
          <t>Base</t>
        </is>
      </c>
      <c r="I227" t="n">
        <v>0</v>
      </c>
    </row>
    <row r="228" ht="20" customHeight="1">
      <c r="A228" t="inlineStr">
        <is>
          <t>Grupo C</t>
        </is>
      </c>
      <c r="B228" t="inlineStr">
        <is>
          <t>SCO</t>
        </is>
      </c>
      <c r="C228" t="inlineStr">
        <is>
          <t>Scotland</t>
        </is>
      </c>
      <c r="D228" t="n">
        <v>7</v>
      </c>
      <c r="E228" t="inlineStr">
        <is>
          <t>SCO7</t>
        </is>
      </c>
      <c r="F228" t="inlineStr">
        <is>
          <t>Scott McKenna - Scotland</t>
        </is>
      </c>
      <c r="G228" t="inlineStr">
        <is>
          <t>Base</t>
        </is>
      </c>
      <c r="I228" t="n">
        <v>0</v>
      </c>
    </row>
    <row r="229" ht="20" customHeight="1">
      <c r="A229" t="inlineStr">
        <is>
          <t>Grupo C</t>
        </is>
      </c>
      <c r="B229" t="inlineStr">
        <is>
          <t>SCO</t>
        </is>
      </c>
      <c r="C229" t="inlineStr">
        <is>
          <t>Scotland</t>
        </is>
      </c>
      <c r="D229" t="n">
        <v>8</v>
      </c>
      <c r="E229" t="inlineStr">
        <is>
          <t>SCO8</t>
        </is>
      </c>
      <c r="F229" t="inlineStr">
        <is>
          <t>John Souttar - Scotland</t>
        </is>
      </c>
      <c r="G229" t="inlineStr">
        <is>
          <t>Base</t>
        </is>
      </c>
      <c r="I229" t="n">
        <v>0</v>
      </c>
    </row>
    <row r="230" ht="20" customHeight="1">
      <c r="A230" t="inlineStr">
        <is>
          <t>Grupo C</t>
        </is>
      </c>
      <c r="B230" t="inlineStr">
        <is>
          <t>SCO</t>
        </is>
      </c>
      <c r="C230" t="inlineStr">
        <is>
          <t>Scotland</t>
        </is>
      </c>
      <c r="D230" t="n">
        <v>9</v>
      </c>
      <c r="E230" t="inlineStr">
        <is>
          <t>SCO9</t>
        </is>
      </c>
      <c r="F230" t="inlineStr">
        <is>
          <t>Anthony Ralston - Scotland</t>
        </is>
      </c>
      <c r="G230" t="inlineStr">
        <is>
          <t>Base</t>
        </is>
      </c>
      <c r="I230" t="n">
        <v>0</v>
      </c>
    </row>
    <row r="231" ht="20" customHeight="1">
      <c r="A231" t="inlineStr">
        <is>
          <t>Grupo C</t>
        </is>
      </c>
      <c r="B231" t="inlineStr">
        <is>
          <t>SCO</t>
        </is>
      </c>
      <c r="C231" t="inlineStr">
        <is>
          <t>Scotland</t>
        </is>
      </c>
      <c r="D231" t="n">
        <v>10</v>
      </c>
      <c r="E231" t="inlineStr">
        <is>
          <t>SCO10</t>
        </is>
      </c>
      <c r="F231" t="inlineStr">
        <is>
          <t>Grant Hanley - Scotland</t>
        </is>
      </c>
      <c r="G231" t="inlineStr">
        <is>
          <t>Base</t>
        </is>
      </c>
      <c r="I231" t="n">
        <v>0</v>
      </c>
    </row>
    <row r="232" ht="20" customHeight="1">
      <c r="A232" t="inlineStr">
        <is>
          <t>Grupo C</t>
        </is>
      </c>
      <c r="B232" t="inlineStr">
        <is>
          <t>SCO</t>
        </is>
      </c>
      <c r="C232" t="inlineStr">
        <is>
          <t>Scotland</t>
        </is>
      </c>
      <c r="D232" t="n">
        <v>11</v>
      </c>
      <c r="E232" t="inlineStr">
        <is>
          <t>SCO11</t>
        </is>
      </c>
      <c r="F232" t="inlineStr">
        <is>
          <t>Scott McTominay - Scotland</t>
        </is>
      </c>
      <c r="G232" t="inlineStr">
        <is>
          <t>Base</t>
        </is>
      </c>
      <c r="I232" t="n">
        <v>0</v>
      </c>
    </row>
    <row r="233" ht="20" customHeight="1">
      <c r="A233" t="inlineStr">
        <is>
          <t>Grupo C</t>
        </is>
      </c>
      <c r="B233" t="inlineStr">
        <is>
          <t>SCO</t>
        </is>
      </c>
      <c r="C233" t="inlineStr">
        <is>
          <t>Scotland</t>
        </is>
      </c>
      <c r="D233" t="n">
        <v>12</v>
      </c>
      <c r="E233" t="inlineStr">
        <is>
          <t>SCO12</t>
        </is>
      </c>
      <c r="F233" t="inlineStr">
        <is>
          <t>Billy Gilmour - Scotland</t>
        </is>
      </c>
      <c r="G233" t="inlineStr">
        <is>
          <t>Base</t>
        </is>
      </c>
      <c r="I233" t="n">
        <v>0</v>
      </c>
    </row>
    <row r="234" ht="20" customHeight="1">
      <c r="A234" t="inlineStr">
        <is>
          <t>Grupo C</t>
        </is>
      </c>
      <c r="B234" t="inlineStr">
        <is>
          <t>SCO</t>
        </is>
      </c>
      <c r="C234" t="inlineStr">
        <is>
          <t>Scotland</t>
        </is>
      </c>
      <c r="D234" t="n">
        <v>13</v>
      </c>
      <c r="E234" t="inlineStr">
        <is>
          <t>SCO13</t>
        </is>
      </c>
      <c r="F234" t="inlineStr">
        <is>
          <t>Team Photo - Scotland</t>
        </is>
      </c>
      <c r="G234" t="inlineStr">
        <is>
          <t>Base</t>
        </is>
      </c>
      <c r="I234" t="n">
        <v>0</v>
      </c>
    </row>
    <row r="235" ht="20" customHeight="1">
      <c r="A235" t="inlineStr">
        <is>
          <t>Grupo C</t>
        </is>
      </c>
      <c r="B235" t="inlineStr">
        <is>
          <t>SCO</t>
        </is>
      </c>
      <c r="C235" t="inlineStr">
        <is>
          <t>Scotland</t>
        </is>
      </c>
      <c r="D235" t="n">
        <v>14</v>
      </c>
      <c r="E235" t="inlineStr">
        <is>
          <t>SCO14</t>
        </is>
      </c>
      <c r="F235" t="inlineStr">
        <is>
          <t>Lewis Ferguson - Scotland</t>
        </is>
      </c>
      <c r="G235" t="inlineStr">
        <is>
          <t>Base</t>
        </is>
      </c>
      <c r="I235" t="n">
        <v>0</v>
      </c>
    </row>
    <row r="236" ht="20" customHeight="1">
      <c r="A236" t="inlineStr">
        <is>
          <t>Grupo C</t>
        </is>
      </c>
      <c r="B236" t="inlineStr">
        <is>
          <t>SCO</t>
        </is>
      </c>
      <c r="C236" t="inlineStr">
        <is>
          <t>Scotland</t>
        </is>
      </c>
      <c r="D236" t="n">
        <v>15</v>
      </c>
      <c r="E236" t="inlineStr">
        <is>
          <t>SCO15</t>
        </is>
      </c>
      <c r="F236" t="inlineStr">
        <is>
          <t>Ryan Christie - Scotland</t>
        </is>
      </c>
      <c r="G236" t="inlineStr">
        <is>
          <t>Base</t>
        </is>
      </c>
      <c r="I236" t="n">
        <v>0</v>
      </c>
    </row>
    <row r="237" ht="20" customHeight="1">
      <c r="A237" t="inlineStr">
        <is>
          <t>Grupo C</t>
        </is>
      </c>
      <c r="B237" t="inlineStr">
        <is>
          <t>SCO</t>
        </is>
      </c>
      <c r="C237" t="inlineStr">
        <is>
          <t>Scotland</t>
        </is>
      </c>
      <c r="D237" t="n">
        <v>16</v>
      </c>
      <c r="E237" t="inlineStr">
        <is>
          <t>SCO16</t>
        </is>
      </c>
      <c r="F237" t="inlineStr">
        <is>
          <t>Kenny McLean - Scotland</t>
        </is>
      </c>
      <c r="G237" t="inlineStr">
        <is>
          <t>Base</t>
        </is>
      </c>
      <c r="I237" t="n">
        <v>0</v>
      </c>
    </row>
    <row r="238" ht="20" customHeight="1">
      <c r="A238" t="inlineStr">
        <is>
          <t>Grupo C</t>
        </is>
      </c>
      <c r="B238" t="inlineStr">
        <is>
          <t>SCO</t>
        </is>
      </c>
      <c r="C238" t="inlineStr">
        <is>
          <t>Scotland</t>
        </is>
      </c>
      <c r="D238" t="n">
        <v>17</v>
      </c>
      <c r="E238" t="inlineStr">
        <is>
          <t>SCO17</t>
        </is>
      </c>
      <c r="F238" t="inlineStr">
        <is>
          <t>John McGinn - Scotland</t>
        </is>
      </c>
      <c r="G238" t="inlineStr">
        <is>
          <t>Base</t>
        </is>
      </c>
      <c r="I238" t="n">
        <v>0</v>
      </c>
    </row>
    <row r="239" ht="20" customHeight="1">
      <c r="A239" t="inlineStr">
        <is>
          <t>Grupo C</t>
        </is>
      </c>
      <c r="B239" t="inlineStr">
        <is>
          <t>SCO</t>
        </is>
      </c>
      <c r="C239" t="inlineStr">
        <is>
          <t>Scotland</t>
        </is>
      </c>
      <c r="D239" t="n">
        <v>18</v>
      </c>
      <c r="E239" t="inlineStr">
        <is>
          <t>SCO18</t>
        </is>
      </c>
      <c r="F239" t="inlineStr">
        <is>
          <t>Lyndon Dykes - Scotland</t>
        </is>
      </c>
      <c r="G239" t="inlineStr">
        <is>
          <t>Base</t>
        </is>
      </c>
      <c r="I239" t="n">
        <v>0</v>
      </c>
    </row>
    <row r="240" ht="20" customHeight="1">
      <c r="A240" t="inlineStr">
        <is>
          <t>Grupo C</t>
        </is>
      </c>
      <c r="B240" t="inlineStr">
        <is>
          <t>SCO</t>
        </is>
      </c>
      <c r="C240" t="inlineStr">
        <is>
          <t>Scotland</t>
        </is>
      </c>
      <c r="D240" t="n">
        <v>19</v>
      </c>
      <c r="E240" t="inlineStr">
        <is>
          <t>SCO19</t>
        </is>
      </c>
      <c r="F240" t="inlineStr">
        <is>
          <t>Che Adams - Scotland</t>
        </is>
      </c>
      <c r="G240" t="inlineStr">
        <is>
          <t>Base</t>
        </is>
      </c>
      <c r="I240" t="n">
        <v>0</v>
      </c>
    </row>
    <row r="241" ht="20" customHeight="1">
      <c r="A241" t="inlineStr">
        <is>
          <t>Grupo C</t>
        </is>
      </c>
      <c r="B241" t="inlineStr">
        <is>
          <t>SCO</t>
        </is>
      </c>
      <c r="C241" t="inlineStr">
        <is>
          <t>Scotland</t>
        </is>
      </c>
      <c r="D241" t="n">
        <v>20</v>
      </c>
      <c r="E241" t="inlineStr">
        <is>
          <t>SCO20</t>
        </is>
      </c>
      <c r="F241" t="inlineStr">
        <is>
          <t>Ben Gannon-Doak - Scotland</t>
        </is>
      </c>
      <c r="G241" t="inlineStr">
        <is>
          <t>Base</t>
        </is>
      </c>
      <c r="I241" t="n">
        <v>0</v>
      </c>
    </row>
    <row r="242" ht="20" customHeight="1">
      <c r="A242" t="inlineStr">
        <is>
          <t>Grupo D</t>
        </is>
      </c>
      <c r="B242" t="inlineStr">
        <is>
          <t>USA</t>
        </is>
      </c>
      <c r="C242" t="inlineStr">
        <is>
          <t>USA</t>
        </is>
      </c>
      <c r="D242" t="n">
        <v>1</v>
      </c>
      <c r="E242" t="inlineStr">
        <is>
          <t>USA1</t>
        </is>
      </c>
      <c r="F242" t="inlineStr">
        <is>
          <t>Team Logo - USA FOIL</t>
        </is>
      </c>
      <c r="G242" t="inlineStr">
        <is>
          <t>FOIL</t>
        </is>
      </c>
      <c r="I242" t="n">
        <v>0</v>
      </c>
    </row>
    <row r="243" ht="20" customHeight="1">
      <c r="A243" t="inlineStr">
        <is>
          <t>Grupo D</t>
        </is>
      </c>
      <c r="B243" t="inlineStr">
        <is>
          <t>USA</t>
        </is>
      </c>
      <c r="C243" t="inlineStr">
        <is>
          <t>USA</t>
        </is>
      </c>
      <c r="D243" t="n">
        <v>2</v>
      </c>
      <c r="E243" t="inlineStr">
        <is>
          <t>USA2</t>
        </is>
      </c>
      <c r="F243" t="inlineStr">
        <is>
          <t>Math Freese - USA</t>
        </is>
      </c>
      <c r="G243" t="inlineStr">
        <is>
          <t>Base</t>
        </is>
      </c>
      <c r="I243" t="n">
        <v>0</v>
      </c>
    </row>
    <row r="244" ht="20" customHeight="1">
      <c r="A244" t="inlineStr">
        <is>
          <t>Grupo D</t>
        </is>
      </c>
      <c r="B244" t="inlineStr">
        <is>
          <t>USA</t>
        </is>
      </c>
      <c r="C244" t="inlineStr">
        <is>
          <t>USA</t>
        </is>
      </c>
      <c r="D244" t="n">
        <v>3</v>
      </c>
      <c r="E244" t="inlineStr">
        <is>
          <t>USA3</t>
        </is>
      </c>
      <c r="F244" t="inlineStr">
        <is>
          <t>Chris Richards - USA</t>
        </is>
      </c>
      <c r="G244" t="inlineStr">
        <is>
          <t>Base</t>
        </is>
      </c>
      <c r="I244" t="n">
        <v>0</v>
      </c>
    </row>
    <row r="245" ht="20" customHeight="1">
      <c r="A245" t="inlineStr">
        <is>
          <t>Grupo D</t>
        </is>
      </c>
      <c r="B245" t="inlineStr">
        <is>
          <t>USA</t>
        </is>
      </c>
      <c r="C245" t="inlineStr">
        <is>
          <t>USA</t>
        </is>
      </c>
      <c r="D245" t="n">
        <v>4</v>
      </c>
      <c r="E245" t="inlineStr">
        <is>
          <t>USA4</t>
        </is>
      </c>
      <c r="F245" t="inlineStr">
        <is>
          <t>Tim Ream - USA</t>
        </is>
      </c>
      <c r="G245" t="inlineStr">
        <is>
          <t>Base</t>
        </is>
      </c>
      <c r="I245" t="n">
        <v>0</v>
      </c>
    </row>
    <row r="246" ht="20" customHeight="1">
      <c r="A246" t="inlineStr">
        <is>
          <t>Grupo D</t>
        </is>
      </c>
      <c r="B246" t="inlineStr">
        <is>
          <t>USA</t>
        </is>
      </c>
      <c r="C246" t="inlineStr">
        <is>
          <t>USA</t>
        </is>
      </c>
      <c r="D246" t="n">
        <v>5</v>
      </c>
      <c r="E246" t="inlineStr">
        <is>
          <t>USA5</t>
        </is>
      </c>
      <c r="F246" t="inlineStr">
        <is>
          <t>Mark McKenzie - USA</t>
        </is>
      </c>
      <c r="G246" t="inlineStr">
        <is>
          <t>Base</t>
        </is>
      </c>
      <c r="I246" t="n">
        <v>0</v>
      </c>
    </row>
    <row r="247" ht="20" customHeight="1">
      <c r="A247" t="inlineStr">
        <is>
          <t>Grupo D</t>
        </is>
      </c>
      <c r="B247" t="inlineStr">
        <is>
          <t>USA</t>
        </is>
      </c>
      <c r="C247" t="inlineStr">
        <is>
          <t>USA</t>
        </is>
      </c>
      <c r="D247" t="n">
        <v>6</v>
      </c>
      <c r="E247" t="inlineStr">
        <is>
          <t>USA6</t>
        </is>
      </c>
      <c r="F247" t="inlineStr">
        <is>
          <t>Alex Freeman - USA</t>
        </is>
      </c>
      <c r="G247" t="inlineStr">
        <is>
          <t>Base</t>
        </is>
      </c>
      <c r="I247" t="n">
        <v>0</v>
      </c>
    </row>
    <row r="248" ht="20" customHeight="1">
      <c r="A248" t="inlineStr">
        <is>
          <t>Grupo D</t>
        </is>
      </c>
      <c r="B248" t="inlineStr">
        <is>
          <t>USA</t>
        </is>
      </c>
      <c r="C248" t="inlineStr">
        <is>
          <t>USA</t>
        </is>
      </c>
      <c r="D248" t="n">
        <v>7</v>
      </c>
      <c r="E248" t="inlineStr">
        <is>
          <t>USA7</t>
        </is>
      </c>
      <c r="F248" t="inlineStr">
        <is>
          <t>Antonee Robinson - USA</t>
        </is>
      </c>
      <c r="G248" t="inlineStr">
        <is>
          <t>Base</t>
        </is>
      </c>
      <c r="I248" t="n">
        <v>0</v>
      </c>
    </row>
    <row r="249" ht="20" customHeight="1">
      <c r="A249" t="inlineStr">
        <is>
          <t>Grupo D</t>
        </is>
      </c>
      <c r="B249" t="inlineStr">
        <is>
          <t>USA</t>
        </is>
      </c>
      <c r="C249" t="inlineStr">
        <is>
          <t>USA</t>
        </is>
      </c>
      <c r="D249" t="n">
        <v>8</v>
      </c>
      <c r="E249" t="inlineStr">
        <is>
          <t>USA8</t>
        </is>
      </c>
      <c r="F249" t="inlineStr">
        <is>
          <t>Tyler Adams - USA</t>
        </is>
      </c>
      <c r="G249" t="inlineStr">
        <is>
          <t>Base</t>
        </is>
      </c>
      <c r="I249" t="n">
        <v>0</v>
      </c>
    </row>
    <row r="250" ht="20" customHeight="1">
      <c r="A250" t="inlineStr">
        <is>
          <t>Grupo D</t>
        </is>
      </c>
      <c r="B250" t="inlineStr">
        <is>
          <t>USA</t>
        </is>
      </c>
      <c r="C250" t="inlineStr">
        <is>
          <t>USA</t>
        </is>
      </c>
      <c r="D250" t="n">
        <v>9</v>
      </c>
      <c r="E250" t="inlineStr">
        <is>
          <t>USA9</t>
        </is>
      </c>
      <c r="F250" t="inlineStr">
        <is>
          <t>Tanner Tessmann - USA</t>
        </is>
      </c>
      <c r="G250" t="inlineStr">
        <is>
          <t>Base</t>
        </is>
      </c>
      <c r="I250" t="n">
        <v>0</v>
      </c>
    </row>
    <row r="251" ht="20" customHeight="1">
      <c r="A251" t="inlineStr">
        <is>
          <t>Grupo D</t>
        </is>
      </c>
      <c r="B251" t="inlineStr">
        <is>
          <t>USA</t>
        </is>
      </c>
      <c r="C251" t="inlineStr">
        <is>
          <t>USA</t>
        </is>
      </c>
      <c r="D251" t="n">
        <v>10</v>
      </c>
      <c r="E251" t="inlineStr">
        <is>
          <t>USA10</t>
        </is>
      </c>
      <c r="F251" t="inlineStr">
        <is>
          <t>Weston McKenny - USA</t>
        </is>
      </c>
      <c r="G251" t="inlineStr">
        <is>
          <t>Base</t>
        </is>
      </c>
      <c r="I251" t="n">
        <v>0</v>
      </c>
    </row>
    <row r="252" ht="20" customHeight="1">
      <c r="A252" t="inlineStr">
        <is>
          <t>Grupo D</t>
        </is>
      </c>
      <c r="B252" t="inlineStr">
        <is>
          <t>USA</t>
        </is>
      </c>
      <c r="C252" t="inlineStr">
        <is>
          <t>USA</t>
        </is>
      </c>
      <c r="D252" t="n">
        <v>11</v>
      </c>
      <c r="E252" t="inlineStr">
        <is>
          <t>USA11</t>
        </is>
      </c>
      <c r="F252" t="inlineStr">
        <is>
          <t>Christian Roldan - USA</t>
        </is>
      </c>
      <c r="G252" t="inlineStr">
        <is>
          <t>Base</t>
        </is>
      </c>
      <c r="I252" t="n">
        <v>0</v>
      </c>
    </row>
    <row r="253" ht="20" customHeight="1">
      <c r="A253" t="inlineStr">
        <is>
          <t>Grupo D</t>
        </is>
      </c>
      <c r="B253" t="inlineStr">
        <is>
          <t>USA</t>
        </is>
      </c>
      <c r="C253" t="inlineStr">
        <is>
          <t>USA</t>
        </is>
      </c>
      <c r="D253" t="n">
        <v>12</v>
      </c>
      <c r="E253" t="inlineStr">
        <is>
          <t>USA12</t>
        </is>
      </c>
      <c r="F253" t="inlineStr">
        <is>
          <t>Timothy Weah - USA</t>
        </is>
      </c>
      <c r="G253" t="inlineStr">
        <is>
          <t>Base</t>
        </is>
      </c>
      <c r="I253" t="n">
        <v>0</v>
      </c>
    </row>
    <row r="254" ht="20" customHeight="1">
      <c r="A254" t="inlineStr">
        <is>
          <t>Grupo D</t>
        </is>
      </c>
      <c r="B254" t="inlineStr">
        <is>
          <t>USA</t>
        </is>
      </c>
      <c r="C254" t="inlineStr">
        <is>
          <t>USA</t>
        </is>
      </c>
      <c r="D254" t="n">
        <v>13</v>
      </c>
      <c r="E254" t="inlineStr">
        <is>
          <t>USA13</t>
        </is>
      </c>
      <c r="F254" t="inlineStr">
        <is>
          <t>Team Photo - USA</t>
        </is>
      </c>
      <c r="G254" t="inlineStr">
        <is>
          <t>Base</t>
        </is>
      </c>
      <c r="I254" t="n">
        <v>0</v>
      </c>
    </row>
    <row r="255" ht="20" customHeight="1">
      <c r="A255" t="inlineStr">
        <is>
          <t>Grupo D</t>
        </is>
      </c>
      <c r="B255" t="inlineStr">
        <is>
          <t>USA</t>
        </is>
      </c>
      <c r="C255" t="inlineStr">
        <is>
          <t>USA</t>
        </is>
      </c>
      <c r="D255" t="n">
        <v>14</v>
      </c>
      <c r="E255" t="inlineStr">
        <is>
          <t>USA14</t>
        </is>
      </c>
      <c r="F255" t="inlineStr">
        <is>
          <t>Diego Luna - USA</t>
        </is>
      </c>
      <c r="G255" t="inlineStr">
        <is>
          <t>Base</t>
        </is>
      </c>
      <c r="I255" t="n">
        <v>0</v>
      </c>
    </row>
    <row r="256" ht="20" customHeight="1">
      <c r="A256" t="inlineStr">
        <is>
          <t>Grupo D</t>
        </is>
      </c>
      <c r="B256" t="inlineStr">
        <is>
          <t>USA</t>
        </is>
      </c>
      <c r="C256" t="inlineStr">
        <is>
          <t>USA</t>
        </is>
      </c>
      <c r="D256" t="n">
        <v>15</v>
      </c>
      <c r="E256" t="inlineStr">
        <is>
          <t>USA15</t>
        </is>
      </c>
      <c r="F256" t="inlineStr">
        <is>
          <t>Malik Tillman - USA</t>
        </is>
      </c>
      <c r="G256" t="inlineStr">
        <is>
          <t>Base</t>
        </is>
      </c>
      <c r="I256" t="n">
        <v>0</v>
      </c>
    </row>
    <row r="257" ht="20" customHeight="1">
      <c r="A257" t="inlineStr">
        <is>
          <t>Grupo D</t>
        </is>
      </c>
      <c r="B257" t="inlineStr">
        <is>
          <t>USA</t>
        </is>
      </c>
      <c r="C257" t="inlineStr">
        <is>
          <t>USA</t>
        </is>
      </c>
      <c r="D257" t="n">
        <v>16</v>
      </c>
      <c r="E257" t="inlineStr">
        <is>
          <t>USA16</t>
        </is>
      </c>
      <c r="F257" t="inlineStr">
        <is>
          <t>Christian Pulisic - USA</t>
        </is>
      </c>
      <c r="G257" t="inlineStr">
        <is>
          <t>Base</t>
        </is>
      </c>
      <c r="I257" t="n">
        <v>0</v>
      </c>
    </row>
    <row r="258" ht="20" customHeight="1">
      <c r="A258" t="inlineStr">
        <is>
          <t>Grupo D</t>
        </is>
      </c>
      <c r="B258" t="inlineStr">
        <is>
          <t>USA</t>
        </is>
      </c>
      <c r="C258" t="inlineStr">
        <is>
          <t>USA</t>
        </is>
      </c>
      <c r="D258" t="n">
        <v>17</v>
      </c>
      <c r="E258" t="inlineStr">
        <is>
          <t>USA17</t>
        </is>
      </c>
      <c r="F258" t="inlineStr">
        <is>
          <t>Brenden Aaronson - USA</t>
        </is>
      </c>
      <c r="G258" t="inlineStr">
        <is>
          <t>Base</t>
        </is>
      </c>
      <c r="I258" t="n">
        <v>0</v>
      </c>
    </row>
    <row r="259" ht="20" customHeight="1">
      <c r="A259" t="inlineStr">
        <is>
          <t>Grupo D</t>
        </is>
      </c>
      <c r="B259" t="inlineStr">
        <is>
          <t>USA</t>
        </is>
      </c>
      <c r="C259" t="inlineStr">
        <is>
          <t>USA</t>
        </is>
      </c>
      <c r="D259" t="n">
        <v>18</v>
      </c>
      <c r="E259" t="inlineStr">
        <is>
          <t>USA18</t>
        </is>
      </c>
      <c r="F259" t="inlineStr">
        <is>
          <t>Ricardo Pepi - USA</t>
        </is>
      </c>
      <c r="G259" t="inlineStr">
        <is>
          <t>Base</t>
        </is>
      </c>
      <c r="I259" t="n">
        <v>0</v>
      </c>
    </row>
    <row r="260" ht="20" customHeight="1">
      <c r="A260" t="inlineStr">
        <is>
          <t>Grupo D</t>
        </is>
      </c>
      <c r="B260" t="inlineStr">
        <is>
          <t>USA</t>
        </is>
      </c>
      <c r="C260" t="inlineStr">
        <is>
          <t>USA</t>
        </is>
      </c>
      <c r="D260" t="n">
        <v>19</v>
      </c>
      <c r="E260" t="inlineStr">
        <is>
          <t>USA19</t>
        </is>
      </c>
      <c r="F260" t="inlineStr">
        <is>
          <t>Haji Wright - USA</t>
        </is>
      </c>
      <c r="G260" t="inlineStr">
        <is>
          <t>Base</t>
        </is>
      </c>
      <c r="I260" t="n">
        <v>0</v>
      </c>
    </row>
    <row r="261" ht="20" customHeight="1">
      <c r="A261" t="inlineStr">
        <is>
          <t>Grupo D</t>
        </is>
      </c>
      <c r="B261" t="inlineStr">
        <is>
          <t>USA</t>
        </is>
      </c>
      <c r="C261" t="inlineStr">
        <is>
          <t>USA</t>
        </is>
      </c>
      <c r="D261" t="n">
        <v>20</v>
      </c>
      <c r="E261" t="inlineStr">
        <is>
          <t>USA20</t>
        </is>
      </c>
      <c r="F261" t="inlineStr">
        <is>
          <t>Folarin Balogun - USA</t>
        </is>
      </c>
      <c r="G261" t="inlineStr">
        <is>
          <t>Base</t>
        </is>
      </c>
      <c r="I261" t="n">
        <v>0</v>
      </c>
    </row>
    <row r="262" ht="20" customHeight="1">
      <c r="A262" t="inlineStr">
        <is>
          <t>Grupo D</t>
        </is>
      </c>
      <c r="B262" t="inlineStr">
        <is>
          <t>PAR</t>
        </is>
      </c>
      <c r="C262" t="inlineStr">
        <is>
          <t>Paraguay</t>
        </is>
      </c>
      <c r="D262" t="n">
        <v>1</v>
      </c>
      <c r="E262" t="inlineStr">
        <is>
          <t>PAR1</t>
        </is>
      </c>
      <c r="F262" t="inlineStr">
        <is>
          <t>Team Logo - Paraguay FOIL</t>
        </is>
      </c>
      <c r="G262" t="inlineStr">
        <is>
          <t>FOIL</t>
        </is>
      </c>
      <c r="I262" t="n">
        <v>0</v>
      </c>
    </row>
    <row r="263" ht="20" customHeight="1">
      <c r="A263" t="inlineStr">
        <is>
          <t>Grupo D</t>
        </is>
      </c>
      <c r="B263" t="inlineStr">
        <is>
          <t>PAR</t>
        </is>
      </c>
      <c r="C263" t="inlineStr">
        <is>
          <t>Paraguay</t>
        </is>
      </c>
      <c r="D263" t="n">
        <v>2</v>
      </c>
      <c r="E263" t="inlineStr">
        <is>
          <t>PAR2</t>
        </is>
      </c>
      <c r="F263" t="inlineStr">
        <is>
          <t>Roberto Fernandez - Paraguay</t>
        </is>
      </c>
      <c r="G263" t="inlineStr">
        <is>
          <t>Base</t>
        </is>
      </c>
      <c r="I263" t="n">
        <v>0</v>
      </c>
    </row>
    <row r="264" ht="20" customHeight="1">
      <c r="A264" t="inlineStr">
        <is>
          <t>Grupo D</t>
        </is>
      </c>
      <c r="B264" t="inlineStr">
        <is>
          <t>PAR</t>
        </is>
      </c>
      <c r="C264" t="inlineStr">
        <is>
          <t>Paraguay</t>
        </is>
      </c>
      <c r="D264" t="n">
        <v>3</v>
      </c>
      <c r="E264" t="inlineStr">
        <is>
          <t>PAR3</t>
        </is>
      </c>
      <c r="F264" t="inlineStr">
        <is>
          <t>Orlando Gill - Paraguay</t>
        </is>
      </c>
      <c r="G264" t="inlineStr">
        <is>
          <t>Base</t>
        </is>
      </c>
      <c r="I264" t="n">
        <v>0</v>
      </c>
    </row>
    <row r="265" ht="20" customHeight="1">
      <c r="A265" t="inlineStr">
        <is>
          <t>Grupo D</t>
        </is>
      </c>
      <c r="B265" t="inlineStr">
        <is>
          <t>PAR</t>
        </is>
      </c>
      <c r="C265" t="inlineStr">
        <is>
          <t>Paraguay</t>
        </is>
      </c>
      <c r="D265" t="n">
        <v>4</v>
      </c>
      <c r="E265" t="inlineStr">
        <is>
          <t>PAR4</t>
        </is>
      </c>
      <c r="F265" t="inlineStr">
        <is>
          <t>Gustavo Gomez - Paraguay</t>
        </is>
      </c>
      <c r="G265" t="inlineStr">
        <is>
          <t>Base</t>
        </is>
      </c>
      <c r="I265" t="n">
        <v>0</v>
      </c>
    </row>
    <row r="266" ht="20" customHeight="1">
      <c r="A266" t="inlineStr">
        <is>
          <t>Grupo D</t>
        </is>
      </c>
      <c r="B266" t="inlineStr">
        <is>
          <t>PAR</t>
        </is>
      </c>
      <c r="C266" t="inlineStr">
        <is>
          <t>Paraguay</t>
        </is>
      </c>
      <c r="D266" t="n">
        <v>5</v>
      </c>
      <c r="E266" t="inlineStr">
        <is>
          <t>PAR5</t>
        </is>
      </c>
      <c r="F266" t="inlineStr">
        <is>
          <t>Fabián Balbuena - Paraguay</t>
        </is>
      </c>
      <c r="G266" t="inlineStr">
        <is>
          <t>Base</t>
        </is>
      </c>
      <c r="I266" t="n">
        <v>0</v>
      </c>
    </row>
    <row r="267" ht="20" customHeight="1">
      <c r="A267" t="inlineStr">
        <is>
          <t>Grupo D</t>
        </is>
      </c>
      <c r="B267" t="inlineStr">
        <is>
          <t>PAR</t>
        </is>
      </c>
      <c r="C267" t="inlineStr">
        <is>
          <t>Paraguay</t>
        </is>
      </c>
      <c r="D267" t="n">
        <v>6</v>
      </c>
      <c r="E267" t="inlineStr">
        <is>
          <t>PAR6</t>
        </is>
      </c>
      <c r="F267" t="inlineStr">
        <is>
          <t>Juan José Cáceres - Paraguay</t>
        </is>
      </c>
      <c r="G267" t="inlineStr">
        <is>
          <t>Base</t>
        </is>
      </c>
      <c r="I267" t="n">
        <v>0</v>
      </c>
    </row>
    <row r="268" ht="20" customHeight="1">
      <c r="A268" t="inlineStr">
        <is>
          <t>Grupo D</t>
        </is>
      </c>
      <c r="B268" t="inlineStr">
        <is>
          <t>PAR</t>
        </is>
      </c>
      <c r="C268" t="inlineStr">
        <is>
          <t>Paraguay</t>
        </is>
      </c>
      <c r="D268" t="n">
        <v>7</v>
      </c>
      <c r="E268" t="inlineStr">
        <is>
          <t>PAR7</t>
        </is>
      </c>
      <c r="F268" t="inlineStr">
        <is>
          <t>Omar Alderete - Paraguay</t>
        </is>
      </c>
      <c r="G268" t="inlineStr">
        <is>
          <t>Base</t>
        </is>
      </c>
      <c r="I268" t="n">
        <v>0</v>
      </c>
    </row>
    <row r="269" ht="20" customHeight="1">
      <c r="A269" t="inlineStr">
        <is>
          <t>Grupo D</t>
        </is>
      </c>
      <c r="B269" t="inlineStr">
        <is>
          <t>PAR</t>
        </is>
      </c>
      <c r="C269" t="inlineStr">
        <is>
          <t>Paraguay</t>
        </is>
      </c>
      <c r="D269" t="n">
        <v>8</v>
      </c>
      <c r="E269" t="inlineStr">
        <is>
          <t>PAR8</t>
        </is>
      </c>
      <c r="F269" t="inlineStr">
        <is>
          <t>Junior Alonso - Paraguay</t>
        </is>
      </c>
      <c r="G269" t="inlineStr">
        <is>
          <t>Base</t>
        </is>
      </c>
      <c r="I269" t="n">
        <v>0</v>
      </c>
    </row>
    <row r="270" ht="20" customHeight="1">
      <c r="A270" t="inlineStr">
        <is>
          <t>Grupo D</t>
        </is>
      </c>
      <c r="B270" t="inlineStr">
        <is>
          <t>PAR</t>
        </is>
      </c>
      <c r="C270" t="inlineStr">
        <is>
          <t>Paraguay</t>
        </is>
      </c>
      <c r="D270" t="n">
        <v>9</v>
      </c>
      <c r="E270" t="inlineStr">
        <is>
          <t>PAR9</t>
        </is>
      </c>
      <c r="F270" t="inlineStr">
        <is>
          <t>Mathías Villasanti - Paraguay</t>
        </is>
      </c>
      <c r="G270" t="inlineStr">
        <is>
          <t>Base</t>
        </is>
      </c>
      <c r="I270" t="n">
        <v>0</v>
      </c>
    </row>
    <row r="271" ht="20" customHeight="1">
      <c r="A271" t="inlineStr">
        <is>
          <t>Grupo D</t>
        </is>
      </c>
      <c r="B271" t="inlineStr">
        <is>
          <t>PAR</t>
        </is>
      </c>
      <c r="C271" t="inlineStr">
        <is>
          <t>Paraguay</t>
        </is>
      </c>
      <c r="D271" t="n">
        <v>10</v>
      </c>
      <c r="E271" t="inlineStr">
        <is>
          <t>PAR10</t>
        </is>
      </c>
      <c r="F271" t="inlineStr">
        <is>
          <t>Diego Gomez - Paraguay</t>
        </is>
      </c>
      <c r="G271" t="inlineStr">
        <is>
          <t>Base</t>
        </is>
      </c>
      <c r="I271" t="n">
        <v>0</v>
      </c>
    </row>
    <row r="272" ht="20" customHeight="1">
      <c r="A272" t="inlineStr">
        <is>
          <t>Grupo D</t>
        </is>
      </c>
      <c r="B272" t="inlineStr">
        <is>
          <t>PAR</t>
        </is>
      </c>
      <c r="C272" t="inlineStr">
        <is>
          <t>Paraguay</t>
        </is>
      </c>
      <c r="D272" t="n">
        <v>11</v>
      </c>
      <c r="E272" t="inlineStr">
        <is>
          <t>PAR11</t>
        </is>
      </c>
      <c r="F272" t="inlineStr">
        <is>
          <t>Damián Bobadilla - Paraguay</t>
        </is>
      </c>
      <c r="G272" t="inlineStr">
        <is>
          <t>Base</t>
        </is>
      </c>
      <c r="I272" t="n">
        <v>0</v>
      </c>
    </row>
    <row r="273" ht="20" customHeight="1">
      <c r="A273" t="inlineStr">
        <is>
          <t>Grupo D</t>
        </is>
      </c>
      <c r="B273" t="inlineStr">
        <is>
          <t>PAR</t>
        </is>
      </c>
      <c r="C273" t="inlineStr">
        <is>
          <t>Paraguay</t>
        </is>
      </c>
      <c r="D273" t="n">
        <v>12</v>
      </c>
      <c r="E273" t="inlineStr">
        <is>
          <t>PAR12</t>
        </is>
      </c>
      <c r="F273" t="inlineStr">
        <is>
          <t>Andres Cubas - Paraguay</t>
        </is>
      </c>
      <c r="G273" t="inlineStr">
        <is>
          <t>Base</t>
        </is>
      </c>
      <c r="I273" t="n">
        <v>0</v>
      </c>
    </row>
    <row r="274" ht="20" customHeight="1">
      <c r="A274" t="inlineStr">
        <is>
          <t>Grupo D</t>
        </is>
      </c>
      <c r="B274" t="inlineStr">
        <is>
          <t>PAR</t>
        </is>
      </c>
      <c r="C274" t="inlineStr">
        <is>
          <t>Paraguay</t>
        </is>
      </c>
      <c r="D274" t="n">
        <v>13</v>
      </c>
      <c r="E274" t="inlineStr">
        <is>
          <t>PAR13</t>
        </is>
      </c>
      <c r="F274" t="inlineStr">
        <is>
          <t>Team Photo - Paraguay</t>
        </is>
      </c>
      <c r="G274" t="inlineStr">
        <is>
          <t>Base</t>
        </is>
      </c>
      <c r="I274" t="n">
        <v>0</v>
      </c>
    </row>
    <row r="275" ht="20" customHeight="1">
      <c r="A275" t="inlineStr">
        <is>
          <t>Grupo D</t>
        </is>
      </c>
      <c r="B275" t="inlineStr">
        <is>
          <t>PAR</t>
        </is>
      </c>
      <c r="C275" t="inlineStr">
        <is>
          <t>Paraguay</t>
        </is>
      </c>
      <c r="D275" t="n">
        <v>14</v>
      </c>
      <c r="E275" t="inlineStr">
        <is>
          <t>PAR14</t>
        </is>
      </c>
      <c r="F275" t="inlineStr">
        <is>
          <t>Matias Galarza Fonda - Paraguay</t>
        </is>
      </c>
      <c r="G275" t="inlineStr">
        <is>
          <t>Base</t>
        </is>
      </c>
      <c r="I275" t="n">
        <v>0</v>
      </c>
    </row>
    <row r="276" ht="20" customHeight="1">
      <c r="A276" t="inlineStr">
        <is>
          <t>Grupo D</t>
        </is>
      </c>
      <c r="B276" t="inlineStr">
        <is>
          <t>PAR</t>
        </is>
      </c>
      <c r="C276" t="inlineStr">
        <is>
          <t>Paraguay</t>
        </is>
      </c>
      <c r="D276" t="n">
        <v>15</v>
      </c>
      <c r="E276" t="inlineStr">
        <is>
          <t>PAR15</t>
        </is>
      </c>
      <c r="F276" t="inlineStr">
        <is>
          <t>Julio Enciso - Paraguay</t>
        </is>
      </c>
      <c r="G276" t="inlineStr">
        <is>
          <t>Base</t>
        </is>
      </c>
      <c r="I276" t="n">
        <v>0</v>
      </c>
    </row>
    <row r="277" ht="20" customHeight="1">
      <c r="A277" t="inlineStr">
        <is>
          <t>Grupo D</t>
        </is>
      </c>
      <c r="B277" t="inlineStr">
        <is>
          <t>PAR</t>
        </is>
      </c>
      <c r="C277" t="inlineStr">
        <is>
          <t>Paraguay</t>
        </is>
      </c>
      <c r="D277" t="n">
        <v>16</v>
      </c>
      <c r="E277" t="inlineStr">
        <is>
          <t>PAR16</t>
        </is>
      </c>
      <c r="F277" t="inlineStr">
        <is>
          <t>Alejandro Romero Gamarra - Paraguay</t>
        </is>
      </c>
      <c r="G277" t="inlineStr">
        <is>
          <t>Base</t>
        </is>
      </c>
      <c r="I277" t="n">
        <v>0</v>
      </c>
    </row>
    <row r="278" ht="20" customHeight="1">
      <c r="A278" t="inlineStr">
        <is>
          <t>Grupo D</t>
        </is>
      </c>
      <c r="B278" t="inlineStr">
        <is>
          <t>PAR</t>
        </is>
      </c>
      <c r="C278" t="inlineStr">
        <is>
          <t>Paraguay</t>
        </is>
      </c>
      <c r="D278" t="n">
        <v>17</v>
      </c>
      <c r="E278" t="inlineStr">
        <is>
          <t>PAR17</t>
        </is>
      </c>
      <c r="F278" t="inlineStr">
        <is>
          <t>Miguel Almirón - Paraguay</t>
        </is>
      </c>
      <c r="G278" t="inlineStr">
        <is>
          <t>Base</t>
        </is>
      </c>
      <c r="I278" t="n">
        <v>0</v>
      </c>
    </row>
    <row r="279" ht="20" customHeight="1">
      <c r="A279" t="inlineStr">
        <is>
          <t>Grupo D</t>
        </is>
      </c>
      <c r="B279" t="inlineStr">
        <is>
          <t>PAR</t>
        </is>
      </c>
      <c r="C279" t="inlineStr">
        <is>
          <t>Paraguay</t>
        </is>
      </c>
      <c r="D279" t="n">
        <v>18</v>
      </c>
      <c r="E279" t="inlineStr">
        <is>
          <t>PAR18</t>
        </is>
      </c>
      <c r="F279" t="inlineStr">
        <is>
          <t>Ramon Sosa - Paraguay</t>
        </is>
      </c>
      <c r="G279" t="inlineStr">
        <is>
          <t>Base</t>
        </is>
      </c>
      <c r="I279" t="n">
        <v>0</v>
      </c>
    </row>
    <row r="280" ht="20" customHeight="1">
      <c r="A280" t="inlineStr">
        <is>
          <t>Grupo D</t>
        </is>
      </c>
      <c r="B280" t="inlineStr">
        <is>
          <t>PAR</t>
        </is>
      </c>
      <c r="C280" t="inlineStr">
        <is>
          <t>Paraguay</t>
        </is>
      </c>
      <c r="D280" t="n">
        <v>19</v>
      </c>
      <c r="E280" t="inlineStr">
        <is>
          <t>PAR19</t>
        </is>
      </c>
      <c r="F280" t="inlineStr">
        <is>
          <t>Angel Romero - Paraguay</t>
        </is>
      </c>
      <c r="G280" t="inlineStr">
        <is>
          <t>Base</t>
        </is>
      </c>
      <c r="I280" t="n">
        <v>0</v>
      </c>
    </row>
    <row r="281" ht="20" customHeight="1">
      <c r="A281" t="inlineStr">
        <is>
          <t>Grupo D</t>
        </is>
      </c>
      <c r="B281" t="inlineStr">
        <is>
          <t>PAR</t>
        </is>
      </c>
      <c r="C281" t="inlineStr">
        <is>
          <t>Paraguay</t>
        </is>
      </c>
      <c r="D281" t="n">
        <v>20</v>
      </c>
      <c r="E281" t="inlineStr">
        <is>
          <t>PAR20</t>
        </is>
      </c>
      <c r="F281" t="inlineStr">
        <is>
          <t>Antonio Sanabria - Paraguay</t>
        </is>
      </c>
      <c r="G281" t="inlineStr">
        <is>
          <t>Base</t>
        </is>
      </c>
      <c r="I281" t="n">
        <v>0</v>
      </c>
    </row>
    <row r="282" ht="20" customHeight="1">
      <c r="A282" t="inlineStr">
        <is>
          <t>Grupo D</t>
        </is>
      </c>
      <c r="B282" t="inlineStr">
        <is>
          <t>AUS</t>
        </is>
      </c>
      <c r="C282" t="inlineStr">
        <is>
          <t>Australia</t>
        </is>
      </c>
      <c r="D282" t="n">
        <v>1</v>
      </c>
      <c r="E282" t="inlineStr">
        <is>
          <t>AUS1</t>
        </is>
      </c>
      <c r="F282" t="inlineStr">
        <is>
          <t>Team Logo - Australia FOIL</t>
        </is>
      </c>
      <c r="G282" t="inlineStr">
        <is>
          <t>FOIL</t>
        </is>
      </c>
      <c r="I282" t="n">
        <v>0</v>
      </c>
    </row>
    <row r="283" ht="20" customHeight="1">
      <c r="A283" t="inlineStr">
        <is>
          <t>Grupo D</t>
        </is>
      </c>
      <c r="B283" t="inlineStr">
        <is>
          <t>AUS</t>
        </is>
      </c>
      <c r="C283" t="inlineStr">
        <is>
          <t>Australia</t>
        </is>
      </c>
      <c r="D283" t="n">
        <v>2</v>
      </c>
      <c r="E283" t="inlineStr">
        <is>
          <t>AUS2</t>
        </is>
      </c>
      <c r="F283" t="inlineStr">
        <is>
          <t>Mathew Ryan - Australia</t>
        </is>
      </c>
      <c r="G283" t="inlineStr">
        <is>
          <t>Base</t>
        </is>
      </c>
      <c r="I283" t="n">
        <v>0</v>
      </c>
    </row>
    <row r="284" ht="20" customHeight="1">
      <c r="A284" t="inlineStr">
        <is>
          <t>Grupo D</t>
        </is>
      </c>
      <c r="B284" t="inlineStr">
        <is>
          <t>AUS</t>
        </is>
      </c>
      <c r="C284" t="inlineStr">
        <is>
          <t>Australia</t>
        </is>
      </c>
      <c r="D284" t="n">
        <v>3</v>
      </c>
      <c r="E284" t="inlineStr">
        <is>
          <t>AUS3</t>
        </is>
      </c>
      <c r="F284" t="inlineStr">
        <is>
          <t>Joe Gauci - Australia</t>
        </is>
      </c>
      <c r="G284" t="inlineStr">
        <is>
          <t>Base</t>
        </is>
      </c>
      <c r="I284" t="n">
        <v>0</v>
      </c>
    </row>
    <row r="285" ht="20" customHeight="1">
      <c r="A285" t="inlineStr">
        <is>
          <t>Grupo D</t>
        </is>
      </c>
      <c r="B285" t="inlineStr">
        <is>
          <t>AUS</t>
        </is>
      </c>
      <c r="C285" t="inlineStr">
        <is>
          <t>Australia</t>
        </is>
      </c>
      <c r="D285" t="n">
        <v>4</v>
      </c>
      <c r="E285" t="inlineStr">
        <is>
          <t>AUS4</t>
        </is>
      </c>
      <c r="F285" t="inlineStr">
        <is>
          <t>Harry Souttar - Australia</t>
        </is>
      </c>
      <c r="G285" t="inlineStr">
        <is>
          <t>Base</t>
        </is>
      </c>
      <c r="I285" t="n">
        <v>0</v>
      </c>
    </row>
    <row r="286" ht="20" customHeight="1">
      <c r="A286" t="inlineStr">
        <is>
          <t>Grupo D</t>
        </is>
      </c>
      <c r="B286" t="inlineStr">
        <is>
          <t>AUS</t>
        </is>
      </c>
      <c r="C286" t="inlineStr">
        <is>
          <t>Australia</t>
        </is>
      </c>
      <c r="D286" t="n">
        <v>5</v>
      </c>
      <c r="E286" t="inlineStr">
        <is>
          <t>AUS5</t>
        </is>
      </c>
      <c r="F286" t="inlineStr">
        <is>
          <t>Alessandro Circati - Australia</t>
        </is>
      </c>
      <c r="G286" t="inlineStr">
        <is>
          <t>Base</t>
        </is>
      </c>
      <c r="I286" t="n">
        <v>0</v>
      </c>
    </row>
    <row r="287" ht="20" customHeight="1">
      <c r="A287" t="inlineStr">
        <is>
          <t>Grupo D</t>
        </is>
      </c>
      <c r="B287" t="inlineStr">
        <is>
          <t>AUS</t>
        </is>
      </c>
      <c r="C287" t="inlineStr">
        <is>
          <t>Australia</t>
        </is>
      </c>
      <c r="D287" t="n">
        <v>6</v>
      </c>
      <c r="E287" t="inlineStr">
        <is>
          <t>AUS6</t>
        </is>
      </c>
      <c r="F287" t="inlineStr">
        <is>
          <t>Jordan Bos - Australia</t>
        </is>
      </c>
      <c r="G287" t="inlineStr">
        <is>
          <t>Base</t>
        </is>
      </c>
      <c r="I287" t="n">
        <v>0</v>
      </c>
    </row>
    <row r="288" ht="20" customHeight="1">
      <c r="A288" t="inlineStr">
        <is>
          <t>Grupo D</t>
        </is>
      </c>
      <c r="B288" t="inlineStr">
        <is>
          <t>AUS</t>
        </is>
      </c>
      <c r="C288" t="inlineStr">
        <is>
          <t>Australia</t>
        </is>
      </c>
      <c r="D288" t="n">
        <v>7</v>
      </c>
      <c r="E288" t="inlineStr">
        <is>
          <t>AUS7</t>
        </is>
      </c>
      <c r="F288" t="inlineStr">
        <is>
          <t>Aziz Behich - Australia</t>
        </is>
      </c>
      <c r="G288" t="inlineStr">
        <is>
          <t>Base</t>
        </is>
      </c>
      <c r="I288" t="n">
        <v>0</v>
      </c>
    </row>
    <row r="289" ht="20" customHeight="1">
      <c r="A289" t="inlineStr">
        <is>
          <t>Grupo D</t>
        </is>
      </c>
      <c r="B289" t="inlineStr">
        <is>
          <t>AUS</t>
        </is>
      </c>
      <c r="C289" t="inlineStr">
        <is>
          <t>Australia</t>
        </is>
      </c>
      <c r="D289" t="n">
        <v>8</v>
      </c>
      <c r="E289" t="inlineStr">
        <is>
          <t>AUS8</t>
        </is>
      </c>
      <c r="F289" t="inlineStr">
        <is>
          <t>Cameron Burgess - Australia</t>
        </is>
      </c>
      <c r="G289" t="inlineStr">
        <is>
          <t>Base</t>
        </is>
      </c>
      <c r="I289" t="n">
        <v>0</v>
      </c>
    </row>
    <row r="290" ht="20" customHeight="1">
      <c r="A290" t="inlineStr">
        <is>
          <t>Grupo D</t>
        </is>
      </c>
      <c r="B290" t="inlineStr">
        <is>
          <t>AUS</t>
        </is>
      </c>
      <c r="C290" t="inlineStr">
        <is>
          <t>Australia</t>
        </is>
      </c>
      <c r="D290" t="n">
        <v>9</v>
      </c>
      <c r="E290" t="inlineStr">
        <is>
          <t>AUS9</t>
        </is>
      </c>
      <c r="F290" t="inlineStr">
        <is>
          <t>Lewis Miller - Australia</t>
        </is>
      </c>
      <c r="G290" t="inlineStr">
        <is>
          <t>Base</t>
        </is>
      </c>
      <c r="I290" t="n">
        <v>0</v>
      </c>
    </row>
    <row r="291" ht="20" customHeight="1">
      <c r="A291" t="inlineStr">
        <is>
          <t>Grupo D</t>
        </is>
      </c>
      <c r="B291" t="inlineStr">
        <is>
          <t>AUS</t>
        </is>
      </c>
      <c r="C291" t="inlineStr">
        <is>
          <t>Australia</t>
        </is>
      </c>
      <c r="D291" t="n">
        <v>10</v>
      </c>
      <c r="E291" t="inlineStr">
        <is>
          <t>AUS10</t>
        </is>
      </c>
      <c r="F291" t="inlineStr">
        <is>
          <t>Milos Degenek - Australia</t>
        </is>
      </c>
      <c r="G291" t="inlineStr">
        <is>
          <t>Base</t>
        </is>
      </c>
      <c r="I291" t="n">
        <v>0</v>
      </c>
    </row>
    <row r="292" ht="20" customHeight="1">
      <c r="A292" t="inlineStr">
        <is>
          <t>Grupo D</t>
        </is>
      </c>
      <c r="B292" t="inlineStr">
        <is>
          <t>AUS</t>
        </is>
      </c>
      <c r="C292" t="inlineStr">
        <is>
          <t>Australia</t>
        </is>
      </c>
      <c r="D292" t="n">
        <v>11</v>
      </c>
      <c r="E292" t="inlineStr">
        <is>
          <t>AUS11</t>
        </is>
      </c>
      <c r="F292" t="inlineStr">
        <is>
          <t>Jackson Irvine - Australia</t>
        </is>
      </c>
      <c r="G292" t="inlineStr">
        <is>
          <t>Base</t>
        </is>
      </c>
      <c r="I292" t="n">
        <v>0</v>
      </c>
    </row>
    <row r="293" ht="20" customHeight="1">
      <c r="A293" t="inlineStr">
        <is>
          <t>Grupo D</t>
        </is>
      </c>
      <c r="B293" t="inlineStr">
        <is>
          <t>AUS</t>
        </is>
      </c>
      <c r="C293" t="inlineStr">
        <is>
          <t>Australia</t>
        </is>
      </c>
      <c r="D293" t="n">
        <v>12</v>
      </c>
      <c r="E293" t="inlineStr">
        <is>
          <t>AUS12</t>
        </is>
      </c>
      <c r="F293" t="inlineStr">
        <is>
          <t>Riley McGree - Australia</t>
        </is>
      </c>
      <c r="G293" t="inlineStr">
        <is>
          <t>Base</t>
        </is>
      </c>
      <c r="I293" t="n">
        <v>0</v>
      </c>
    </row>
    <row r="294" ht="20" customHeight="1">
      <c r="A294" t="inlineStr">
        <is>
          <t>Grupo D</t>
        </is>
      </c>
      <c r="B294" t="inlineStr">
        <is>
          <t>AUS</t>
        </is>
      </c>
      <c r="C294" t="inlineStr">
        <is>
          <t>Australia</t>
        </is>
      </c>
      <c r="D294" t="n">
        <v>13</v>
      </c>
      <c r="E294" t="inlineStr">
        <is>
          <t>AUS13</t>
        </is>
      </c>
      <c r="F294" t="inlineStr">
        <is>
          <t>Team Photo - Australia</t>
        </is>
      </c>
      <c r="G294" t="inlineStr">
        <is>
          <t>Base</t>
        </is>
      </c>
      <c r="I294" t="n">
        <v>0</v>
      </c>
    </row>
    <row r="295" ht="20" customHeight="1">
      <c r="A295" t="inlineStr">
        <is>
          <t>Grupo D</t>
        </is>
      </c>
      <c r="B295" t="inlineStr">
        <is>
          <t>AUS</t>
        </is>
      </c>
      <c r="C295" t="inlineStr">
        <is>
          <t>Australia</t>
        </is>
      </c>
      <c r="D295" t="n">
        <v>14</v>
      </c>
      <c r="E295" t="inlineStr">
        <is>
          <t>AUS14</t>
        </is>
      </c>
      <c r="F295" t="inlineStr">
        <is>
          <t>Aiden O'Neill - Australia</t>
        </is>
      </c>
      <c r="G295" t="inlineStr">
        <is>
          <t>Base</t>
        </is>
      </c>
      <c r="I295" t="n">
        <v>0</v>
      </c>
    </row>
    <row r="296" ht="20" customHeight="1">
      <c r="A296" t="inlineStr">
        <is>
          <t>Grupo D</t>
        </is>
      </c>
      <c r="B296" t="inlineStr">
        <is>
          <t>AUS</t>
        </is>
      </c>
      <c r="C296" t="inlineStr">
        <is>
          <t>Australia</t>
        </is>
      </c>
      <c r="D296" t="n">
        <v>15</v>
      </c>
      <c r="E296" t="inlineStr">
        <is>
          <t>AUS15</t>
        </is>
      </c>
      <c r="F296" t="inlineStr">
        <is>
          <t>Connor Metcalfe - Australia</t>
        </is>
      </c>
      <c r="G296" t="inlineStr">
        <is>
          <t>Base</t>
        </is>
      </c>
      <c r="I296" t="n">
        <v>0</v>
      </c>
    </row>
    <row r="297" ht="20" customHeight="1">
      <c r="A297" t="inlineStr">
        <is>
          <t>Grupo D</t>
        </is>
      </c>
      <c r="B297" t="inlineStr">
        <is>
          <t>AUS</t>
        </is>
      </c>
      <c r="C297" t="inlineStr">
        <is>
          <t>Australia</t>
        </is>
      </c>
      <c r="D297" t="n">
        <v>16</v>
      </c>
      <c r="E297" t="inlineStr">
        <is>
          <t>AUS16</t>
        </is>
      </c>
      <c r="F297" t="inlineStr">
        <is>
          <t>Patrick Yazbek - Australia</t>
        </is>
      </c>
      <c r="G297" t="inlineStr">
        <is>
          <t>Base</t>
        </is>
      </c>
      <c r="I297" t="n">
        <v>0</v>
      </c>
    </row>
    <row r="298" ht="20" customHeight="1">
      <c r="A298" t="inlineStr">
        <is>
          <t>Grupo D</t>
        </is>
      </c>
      <c r="B298" t="inlineStr">
        <is>
          <t>AUS</t>
        </is>
      </c>
      <c r="C298" t="inlineStr">
        <is>
          <t>Australia</t>
        </is>
      </c>
      <c r="D298" t="n">
        <v>17</v>
      </c>
      <c r="E298" t="inlineStr">
        <is>
          <t>AUS17</t>
        </is>
      </c>
      <c r="F298" t="inlineStr">
        <is>
          <t>Craig Goodwin - Australia</t>
        </is>
      </c>
      <c r="G298" t="inlineStr">
        <is>
          <t>Base</t>
        </is>
      </c>
      <c r="I298" t="n">
        <v>0</v>
      </c>
    </row>
    <row r="299" ht="20" customHeight="1">
      <c r="A299" t="inlineStr">
        <is>
          <t>Grupo D</t>
        </is>
      </c>
      <c r="B299" t="inlineStr">
        <is>
          <t>AUS</t>
        </is>
      </c>
      <c r="C299" t="inlineStr">
        <is>
          <t>Australia</t>
        </is>
      </c>
      <c r="D299" t="n">
        <v>18</v>
      </c>
      <c r="E299" t="inlineStr">
        <is>
          <t>AUS18</t>
        </is>
      </c>
      <c r="F299" t="inlineStr">
        <is>
          <t>Kusini Vengi - Australia</t>
        </is>
      </c>
      <c r="G299" t="inlineStr">
        <is>
          <t>Base</t>
        </is>
      </c>
      <c r="I299" t="n">
        <v>0</v>
      </c>
    </row>
    <row r="300" ht="20" customHeight="1">
      <c r="A300" t="inlineStr">
        <is>
          <t>Grupo D</t>
        </is>
      </c>
      <c r="B300" t="inlineStr">
        <is>
          <t>AUS</t>
        </is>
      </c>
      <c r="C300" t="inlineStr">
        <is>
          <t>Australia</t>
        </is>
      </c>
      <c r="D300" t="n">
        <v>19</v>
      </c>
      <c r="E300" t="inlineStr">
        <is>
          <t>AUS19</t>
        </is>
      </c>
      <c r="F300" t="inlineStr">
        <is>
          <t>Nestory Irankunda - Australia</t>
        </is>
      </c>
      <c r="G300" t="inlineStr">
        <is>
          <t>Base</t>
        </is>
      </c>
      <c r="I300" t="n">
        <v>0</v>
      </c>
    </row>
    <row r="301" ht="20" customHeight="1">
      <c r="A301" t="inlineStr">
        <is>
          <t>Grupo D</t>
        </is>
      </c>
      <c r="B301" t="inlineStr">
        <is>
          <t>AUS</t>
        </is>
      </c>
      <c r="C301" t="inlineStr">
        <is>
          <t>Australia</t>
        </is>
      </c>
      <c r="D301" t="n">
        <v>20</v>
      </c>
      <c r="E301" t="inlineStr">
        <is>
          <t>AUS20</t>
        </is>
      </c>
      <c r="F301" t="inlineStr">
        <is>
          <t>Mohamed Touré - Australia</t>
        </is>
      </c>
      <c r="G301" t="inlineStr">
        <is>
          <t>Base</t>
        </is>
      </c>
      <c r="I301" t="n">
        <v>0</v>
      </c>
    </row>
    <row r="302" ht="20" customHeight="1">
      <c r="A302" t="inlineStr">
        <is>
          <t>Grupo D</t>
        </is>
      </c>
      <c r="B302" t="inlineStr">
        <is>
          <t>TUR</t>
        </is>
      </c>
      <c r="C302" t="inlineStr">
        <is>
          <t>Türkiye</t>
        </is>
      </c>
      <c r="D302" t="n">
        <v>1</v>
      </c>
      <c r="E302" t="inlineStr">
        <is>
          <t>TUR1</t>
        </is>
      </c>
      <c r="F302" t="inlineStr">
        <is>
          <t>Team Logo - Türkiye FOIL</t>
        </is>
      </c>
      <c r="G302" t="inlineStr">
        <is>
          <t>FOIL</t>
        </is>
      </c>
      <c r="I302" t="n">
        <v>0</v>
      </c>
    </row>
    <row r="303" ht="20" customHeight="1">
      <c r="A303" t="inlineStr">
        <is>
          <t>Grupo D</t>
        </is>
      </c>
      <c r="B303" t="inlineStr">
        <is>
          <t>TUR</t>
        </is>
      </c>
      <c r="C303" t="inlineStr">
        <is>
          <t>Türkiye</t>
        </is>
      </c>
      <c r="D303" t="n">
        <v>2</v>
      </c>
      <c r="E303" t="inlineStr">
        <is>
          <t>TUR2</t>
        </is>
      </c>
      <c r="F303" t="inlineStr">
        <is>
          <t>Ugurcan Cakir - Türkiye</t>
        </is>
      </c>
      <c r="G303" t="inlineStr">
        <is>
          <t>Base</t>
        </is>
      </c>
      <c r="I303" t="n">
        <v>0</v>
      </c>
    </row>
    <row r="304" ht="20" customHeight="1">
      <c r="A304" t="inlineStr">
        <is>
          <t>Grupo D</t>
        </is>
      </c>
      <c r="B304" t="inlineStr">
        <is>
          <t>TUR</t>
        </is>
      </c>
      <c r="C304" t="inlineStr">
        <is>
          <t>Türkiye</t>
        </is>
      </c>
      <c r="D304" t="n">
        <v>3</v>
      </c>
      <c r="E304" t="inlineStr">
        <is>
          <t>TUR3</t>
        </is>
      </c>
      <c r="F304" t="inlineStr">
        <is>
          <t>Mert Muldur - Türkiye</t>
        </is>
      </c>
      <c r="G304" t="inlineStr">
        <is>
          <t>Base</t>
        </is>
      </c>
      <c r="I304" t="n">
        <v>0</v>
      </c>
    </row>
    <row r="305" ht="20" customHeight="1">
      <c r="A305" t="inlineStr">
        <is>
          <t>Grupo D</t>
        </is>
      </c>
      <c r="B305" t="inlineStr">
        <is>
          <t>TUR</t>
        </is>
      </c>
      <c r="C305" t="inlineStr">
        <is>
          <t>Türkiye</t>
        </is>
      </c>
      <c r="D305" t="n">
        <v>4</v>
      </c>
      <c r="E305" t="inlineStr">
        <is>
          <t>TUR4</t>
        </is>
      </c>
      <c r="F305" t="inlineStr">
        <is>
          <t>Zeki Celik - Türkiye</t>
        </is>
      </c>
      <c r="G305" t="inlineStr">
        <is>
          <t>Base</t>
        </is>
      </c>
      <c r="I305" t="n">
        <v>0</v>
      </c>
    </row>
    <row r="306" ht="20" customHeight="1">
      <c r="A306" t="inlineStr">
        <is>
          <t>Grupo D</t>
        </is>
      </c>
      <c r="B306" t="inlineStr">
        <is>
          <t>TUR</t>
        </is>
      </c>
      <c r="C306" t="inlineStr">
        <is>
          <t>Türkiye</t>
        </is>
      </c>
      <c r="D306" t="n">
        <v>5</v>
      </c>
      <c r="E306" t="inlineStr">
        <is>
          <t>TUR5</t>
        </is>
      </c>
      <c r="F306" t="inlineStr">
        <is>
          <t>Abdulkerim Bardakci - Türkiye</t>
        </is>
      </c>
      <c r="G306" t="inlineStr">
        <is>
          <t>Base</t>
        </is>
      </c>
      <c r="I306" t="n">
        <v>0</v>
      </c>
    </row>
    <row r="307" ht="20" customHeight="1">
      <c r="A307" t="inlineStr">
        <is>
          <t>Grupo D</t>
        </is>
      </c>
      <c r="B307" t="inlineStr">
        <is>
          <t>TUR</t>
        </is>
      </c>
      <c r="C307" t="inlineStr">
        <is>
          <t>Türkiye</t>
        </is>
      </c>
      <c r="D307" t="n">
        <v>6</v>
      </c>
      <c r="E307" t="inlineStr">
        <is>
          <t>TUR6</t>
        </is>
      </c>
      <c r="F307" t="inlineStr">
        <is>
          <t>Caglar Soyuncu - Türkiye</t>
        </is>
      </c>
      <c r="G307" t="inlineStr">
        <is>
          <t>Base</t>
        </is>
      </c>
      <c r="I307" t="n">
        <v>0</v>
      </c>
    </row>
    <row r="308" ht="20" customHeight="1">
      <c r="A308" t="inlineStr">
        <is>
          <t>Grupo D</t>
        </is>
      </c>
      <c r="B308" t="inlineStr">
        <is>
          <t>TUR</t>
        </is>
      </c>
      <c r="C308" t="inlineStr">
        <is>
          <t>Türkiye</t>
        </is>
      </c>
      <c r="D308" t="n">
        <v>7</v>
      </c>
      <c r="E308" t="inlineStr">
        <is>
          <t>TUR7</t>
        </is>
      </c>
      <c r="F308" t="inlineStr">
        <is>
          <t>Merih Demiral - Türkiye</t>
        </is>
      </c>
      <c r="G308" t="inlineStr">
        <is>
          <t>Base</t>
        </is>
      </c>
      <c r="I308" t="n">
        <v>0</v>
      </c>
    </row>
    <row r="309" ht="20" customHeight="1">
      <c r="A309" t="inlineStr">
        <is>
          <t>Grupo D</t>
        </is>
      </c>
      <c r="B309" t="inlineStr">
        <is>
          <t>TUR</t>
        </is>
      </c>
      <c r="C309" t="inlineStr">
        <is>
          <t>Türkiye</t>
        </is>
      </c>
      <c r="D309" t="n">
        <v>8</v>
      </c>
      <c r="E309" t="inlineStr">
        <is>
          <t>TUR8</t>
        </is>
      </c>
      <c r="F309" t="inlineStr">
        <is>
          <t>Ferdi Kadioglu - Türkiye</t>
        </is>
      </c>
      <c r="G309" t="inlineStr">
        <is>
          <t>Base</t>
        </is>
      </c>
      <c r="I309" t="n">
        <v>0</v>
      </c>
    </row>
    <row r="310" ht="20" customHeight="1">
      <c r="A310" t="inlineStr">
        <is>
          <t>Grupo D</t>
        </is>
      </c>
      <c r="B310" t="inlineStr">
        <is>
          <t>TUR</t>
        </is>
      </c>
      <c r="C310" t="inlineStr">
        <is>
          <t>Türkiye</t>
        </is>
      </c>
      <c r="D310" t="n">
        <v>9</v>
      </c>
      <c r="E310" t="inlineStr">
        <is>
          <t>TUR9</t>
        </is>
      </c>
      <c r="F310" t="inlineStr">
        <is>
          <t>Kaan Ayhan - Türkiye</t>
        </is>
      </c>
      <c r="G310" t="inlineStr">
        <is>
          <t>Base</t>
        </is>
      </c>
      <c r="I310" t="n">
        <v>0</v>
      </c>
    </row>
    <row r="311" ht="20" customHeight="1">
      <c r="A311" t="inlineStr">
        <is>
          <t>Grupo D</t>
        </is>
      </c>
      <c r="B311" t="inlineStr">
        <is>
          <t>TUR</t>
        </is>
      </c>
      <c r="C311" t="inlineStr">
        <is>
          <t>Türkiye</t>
        </is>
      </c>
      <c r="D311" t="n">
        <v>10</v>
      </c>
      <c r="E311" t="inlineStr">
        <is>
          <t>TUR10</t>
        </is>
      </c>
      <c r="F311" t="inlineStr">
        <is>
          <t>Ismail Yuksek - Türkiye</t>
        </is>
      </c>
      <c r="G311" t="inlineStr">
        <is>
          <t>Base</t>
        </is>
      </c>
      <c r="I311" t="n">
        <v>0</v>
      </c>
    </row>
    <row r="312" ht="20" customHeight="1">
      <c r="A312" t="inlineStr">
        <is>
          <t>Grupo D</t>
        </is>
      </c>
      <c r="B312" t="inlineStr">
        <is>
          <t>TUR</t>
        </is>
      </c>
      <c r="C312" t="inlineStr">
        <is>
          <t>Türkiye</t>
        </is>
      </c>
      <c r="D312" t="n">
        <v>11</v>
      </c>
      <c r="E312" t="inlineStr">
        <is>
          <t>TUR11</t>
        </is>
      </c>
      <c r="F312" t="inlineStr">
        <is>
          <t>Hakan Calhanoglu - Türkiye</t>
        </is>
      </c>
      <c r="G312" t="inlineStr">
        <is>
          <t>Base</t>
        </is>
      </c>
      <c r="I312" t="n">
        <v>0</v>
      </c>
    </row>
    <row r="313" ht="20" customHeight="1">
      <c r="A313" t="inlineStr">
        <is>
          <t>Grupo D</t>
        </is>
      </c>
      <c r="B313" t="inlineStr">
        <is>
          <t>TUR</t>
        </is>
      </c>
      <c r="C313" t="inlineStr">
        <is>
          <t>Türkiye</t>
        </is>
      </c>
      <c r="D313" t="n">
        <v>12</v>
      </c>
      <c r="E313" t="inlineStr">
        <is>
          <t>TUR12</t>
        </is>
      </c>
      <c r="F313" t="inlineStr">
        <is>
          <t>Orkun Kokcu - Türkiye</t>
        </is>
      </c>
      <c r="G313" t="inlineStr">
        <is>
          <t>Base</t>
        </is>
      </c>
      <c r="I313" t="n">
        <v>0</v>
      </c>
    </row>
    <row r="314" ht="20" customHeight="1">
      <c r="A314" t="inlineStr">
        <is>
          <t>Grupo D</t>
        </is>
      </c>
      <c r="B314" t="inlineStr">
        <is>
          <t>TUR</t>
        </is>
      </c>
      <c r="C314" t="inlineStr">
        <is>
          <t>Türkiye</t>
        </is>
      </c>
      <c r="D314" t="n">
        <v>13</v>
      </c>
      <c r="E314" t="inlineStr">
        <is>
          <t>TUR13</t>
        </is>
      </c>
      <c r="F314" t="inlineStr">
        <is>
          <t>Team Photo - Türkiye</t>
        </is>
      </c>
      <c r="G314" t="inlineStr">
        <is>
          <t>Base</t>
        </is>
      </c>
      <c r="I314" t="n">
        <v>0</v>
      </c>
    </row>
    <row r="315" ht="20" customHeight="1">
      <c r="A315" t="inlineStr">
        <is>
          <t>Grupo D</t>
        </is>
      </c>
      <c r="B315" t="inlineStr">
        <is>
          <t>TUR</t>
        </is>
      </c>
      <c r="C315" t="inlineStr">
        <is>
          <t>Türkiye</t>
        </is>
      </c>
      <c r="D315" t="n">
        <v>14</v>
      </c>
      <c r="E315" t="inlineStr">
        <is>
          <t>TUR14</t>
        </is>
      </c>
      <c r="F315" t="inlineStr">
        <is>
          <t>Arda Guler - Türkiye</t>
        </is>
      </c>
      <c r="G315" t="inlineStr">
        <is>
          <t>Base</t>
        </is>
      </c>
      <c r="I315" t="n">
        <v>0</v>
      </c>
    </row>
    <row r="316" ht="20" customHeight="1">
      <c r="A316" t="inlineStr">
        <is>
          <t>Grupo D</t>
        </is>
      </c>
      <c r="B316" t="inlineStr">
        <is>
          <t>TUR</t>
        </is>
      </c>
      <c r="C316" t="inlineStr">
        <is>
          <t>Türkiye</t>
        </is>
      </c>
      <c r="D316" t="n">
        <v>15</v>
      </c>
      <c r="E316" t="inlineStr">
        <is>
          <t>TUR15</t>
        </is>
      </c>
      <c r="F316" t="inlineStr">
        <is>
          <t>Irfan Can Kahveci - Türkiye</t>
        </is>
      </c>
      <c r="G316" t="inlineStr">
        <is>
          <t>Base</t>
        </is>
      </c>
      <c r="I316" t="n">
        <v>0</v>
      </c>
    </row>
    <row r="317" ht="20" customHeight="1">
      <c r="A317" t="inlineStr">
        <is>
          <t>Grupo D</t>
        </is>
      </c>
      <c r="B317" t="inlineStr">
        <is>
          <t>TUR</t>
        </is>
      </c>
      <c r="C317" t="inlineStr">
        <is>
          <t>Türkiye</t>
        </is>
      </c>
      <c r="D317" t="n">
        <v>16</v>
      </c>
      <c r="E317" t="inlineStr">
        <is>
          <t>TUR16</t>
        </is>
      </c>
      <c r="F317" t="inlineStr">
        <is>
          <t>Yunus Akgun - Türkiye</t>
        </is>
      </c>
      <c r="G317" t="inlineStr">
        <is>
          <t>Base</t>
        </is>
      </c>
      <c r="I317" t="n">
        <v>0</v>
      </c>
    </row>
    <row r="318" ht="20" customHeight="1">
      <c r="A318" t="inlineStr">
        <is>
          <t>Grupo D</t>
        </is>
      </c>
      <c r="B318" t="inlineStr">
        <is>
          <t>TUR</t>
        </is>
      </c>
      <c r="C318" t="inlineStr">
        <is>
          <t>Türkiye</t>
        </is>
      </c>
      <c r="D318" t="n">
        <v>17</v>
      </c>
      <c r="E318" t="inlineStr">
        <is>
          <t>TUR17</t>
        </is>
      </c>
      <c r="F318" t="inlineStr">
        <is>
          <t>Can Uzun - Türkiye</t>
        </is>
      </c>
      <c r="G318" t="inlineStr">
        <is>
          <t>Base</t>
        </is>
      </c>
      <c r="I318" t="n">
        <v>0</v>
      </c>
    </row>
    <row r="319" ht="20" customHeight="1">
      <c r="A319" t="inlineStr">
        <is>
          <t>Grupo D</t>
        </is>
      </c>
      <c r="B319" t="inlineStr">
        <is>
          <t>TUR</t>
        </is>
      </c>
      <c r="C319" t="inlineStr">
        <is>
          <t>Türkiye</t>
        </is>
      </c>
      <c r="D319" t="n">
        <v>18</v>
      </c>
      <c r="E319" t="inlineStr">
        <is>
          <t>TUR18</t>
        </is>
      </c>
      <c r="F319" t="inlineStr">
        <is>
          <t>Baris Alper Yilmaz - Türkiye</t>
        </is>
      </c>
      <c r="G319" t="inlineStr">
        <is>
          <t>Base</t>
        </is>
      </c>
      <c r="I319" t="n">
        <v>0</v>
      </c>
    </row>
    <row r="320" ht="20" customHeight="1">
      <c r="A320" t="inlineStr">
        <is>
          <t>Grupo D</t>
        </is>
      </c>
      <c r="B320" t="inlineStr">
        <is>
          <t>TUR</t>
        </is>
      </c>
      <c r="C320" t="inlineStr">
        <is>
          <t>Türkiye</t>
        </is>
      </c>
      <c r="D320" t="n">
        <v>19</v>
      </c>
      <c r="E320" t="inlineStr">
        <is>
          <t>TUR19</t>
        </is>
      </c>
      <c r="F320" t="inlineStr">
        <is>
          <t>Kerem Akturkoglu - Türkiye</t>
        </is>
      </c>
      <c r="G320" t="inlineStr">
        <is>
          <t>Base</t>
        </is>
      </c>
      <c r="I320" t="n">
        <v>0</v>
      </c>
    </row>
    <row r="321" ht="20" customHeight="1">
      <c r="A321" t="inlineStr">
        <is>
          <t>Grupo D</t>
        </is>
      </c>
      <c r="B321" t="inlineStr">
        <is>
          <t>TUR</t>
        </is>
      </c>
      <c r="C321" t="inlineStr">
        <is>
          <t>Türkiye</t>
        </is>
      </c>
      <c r="D321" t="n">
        <v>20</v>
      </c>
      <c r="E321" t="inlineStr">
        <is>
          <t>TUR20</t>
        </is>
      </c>
      <c r="F321" t="inlineStr">
        <is>
          <t>Kenan Yildiz - Türkiye</t>
        </is>
      </c>
      <c r="G321" t="inlineStr">
        <is>
          <t>Base</t>
        </is>
      </c>
      <c r="I321" t="n">
        <v>0</v>
      </c>
    </row>
    <row r="322" ht="20" customHeight="1">
      <c r="A322" t="inlineStr">
        <is>
          <t>Grupo E</t>
        </is>
      </c>
      <c r="B322" t="inlineStr">
        <is>
          <t>GER</t>
        </is>
      </c>
      <c r="C322" t="inlineStr">
        <is>
          <t>Germany</t>
        </is>
      </c>
      <c r="D322" t="n">
        <v>1</v>
      </c>
      <c r="E322" t="inlineStr">
        <is>
          <t>GER1</t>
        </is>
      </c>
      <c r="F322" t="inlineStr">
        <is>
          <t>Team Logo - Germany FOIL</t>
        </is>
      </c>
      <c r="G322" t="inlineStr">
        <is>
          <t>FOIL</t>
        </is>
      </c>
      <c r="I322" t="n">
        <v>0</v>
      </c>
    </row>
    <row r="323" ht="20" customHeight="1">
      <c r="A323" t="inlineStr">
        <is>
          <t>Grupo E</t>
        </is>
      </c>
      <c r="B323" t="inlineStr">
        <is>
          <t>GER</t>
        </is>
      </c>
      <c r="C323" t="inlineStr">
        <is>
          <t>Germany</t>
        </is>
      </c>
      <c r="D323" t="n">
        <v>2</v>
      </c>
      <c r="E323" t="inlineStr">
        <is>
          <t>GER2</t>
        </is>
      </c>
      <c r="F323" t="inlineStr">
        <is>
          <t>Marc-André ter Stegen - Germany</t>
        </is>
      </c>
      <c r="G323" t="inlineStr">
        <is>
          <t>Base</t>
        </is>
      </c>
      <c r="I323" t="n">
        <v>0</v>
      </c>
    </row>
    <row r="324" ht="20" customHeight="1">
      <c r="A324" t="inlineStr">
        <is>
          <t>Grupo E</t>
        </is>
      </c>
      <c r="B324" t="inlineStr">
        <is>
          <t>GER</t>
        </is>
      </c>
      <c r="C324" t="inlineStr">
        <is>
          <t>Germany</t>
        </is>
      </c>
      <c r="D324" t="n">
        <v>3</v>
      </c>
      <c r="E324" t="inlineStr">
        <is>
          <t>GER3</t>
        </is>
      </c>
      <c r="F324" t="inlineStr">
        <is>
          <t>Jonathan Tah - Germany</t>
        </is>
      </c>
      <c r="G324" t="inlineStr">
        <is>
          <t>Base</t>
        </is>
      </c>
      <c r="I324" t="n">
        <v>0</v>
      </c>
    </row>
    <row r="325" ht="20" customHeight="1">
      <c r="A325" t="inlineStr">
        <is>
          <t>Grupo E</t>
        </is>
      </c>
      <c r="B325" t="inlineStr">
        <is>
          <t>GER</t>
        </is>
      </c>
      <c r="C325" t="inlineStr">
        <is>
          <t>Germany</t>
        </is>
      </c>
      <c r="D325" t="n">
        <v>4</v>
      </c>
      <c r="E325" t="inlineStr">
        <is>
          <t>GER4</t>
        </is>
      </c>
      <c r="F325" t="inlineStr">
        <is>
          <t>David Raum - Germany</t>
        </is>
      </c>
      <c r="G325" t="inlineStr">
        <is>
          <t>Base</t>
        </is>
      </c>
      <c r="I325" t="n">
        <v>0</v>
      </c>
    </row>
    <row r="326" ht="20" customHeight="1">
      <c r="A326" t="inlineStr">
        <is>
          <t>Grupo E</t>
        </is>
      </c>
      <c r="B326" t="inlineStr">
        <is>
          <t>GER</t>
        </is>
      </c>
      <c r="C326" t="inlineStr">
        <is>
          <t>Germany</t>
        </is>
      </c>
      <c r="D326" t="n">
        <v>5</v>
      </c>
      <c r="E326" t="inlineStr">
        <is>
          <t>GER5</t>
        </is>
      </c>
      <c r="F326" t="inlineStr">
        <is>
          <t>Nico Schlotterbeck - Germany</t>
        </is>
      </c>
      <c r="G326" t="inlineStr">
        <is>
          <t>Base</t>
        </is>
      </c>
      <c r="I326" t="n">
        <v>0</v>
      </c>
    </row>
    <row r="327" ht="20" customHeight="1">
      <c r="A327" t="inlineStr">
        <is>
          <t>Grupo E</t>
        </is>
      </c>
      <c r="B327" t="inlineStr">
        <is>
          <t>GER</t>
        </is>
      </c>
      <c r="C327" t="inlineStr">
        <is>
          <t>Germany</t>
        </is>
      </c>
      <c r="D327" t="n">
        <v>6</v>
      </c>
      <c r="E327" t="inlineStr">
        <is>
          <t>GER6</t>
        </is>
      </c>
      <c r="F327" t="inlineStr">
        <is>
          <t>Antonio Rüdiger - Germany</t>
        </is>
      </c>
      <c r="G327" t="inlineStr">
        <is>
          <t>Base</t>
        </is>
      </c>
      <c r="I327" t="n">
        <v>0</v>
      </c>
    </row>
    <row r="328" ht="20" customHeight="1">
      <c r="A328" t="inlineStr">
        <is>
          <t>Grupo E</t>
        </is>
      </c>
      <c r="B328" t="inlineStr">
        <is>
          <t>GER</t>
        </is>
      </c>
      <c r="C328" t="inlineStr">
        <is>
          <t>Germany</t>
        </is>
      </c>
      <c r="D328" t="n">
        <v>7</v>
      </c>
      <c r="E328" t="inlineStr">
        <is>
          <t>GER7</t>
        </is>
      </c>
      <c r="F328" t="inlineStr">
        <is>
          <t>Waldemar Anton - Germany</t>
        </is>
      </c>
      <c r="G328" t="inlineStr">
        <is>
          <t>Base</t>
        </is>
      </c>
      <c r="I328" t="n">
        <v>0</v>
      </c>
    </row>
    <row r="329" ht="20" customHeight="1">
      <c r="A329" t="inlineStr">
        <is>
          <t>Grupo E</t>
        </is>
      </c>
      <c r="B329" t="inlineStr">
        <is>
          <t>GER</t>
        </is>
      </c>
      <c r="C329" t="inlineStr">
        <is>
          <t>Germany</t>
        </is>
      </c>
      <c r="D329" t="n">
        <v>8</v>
      </c>
      <c r="E329" t="inlineStr">
        <is>
          <t>GER8</t>
        </is>
      </c>
      <c r="F329" t="inlineStr">
        <is>
          <t>Ridle Baku - Germany</t>
        </is>
      </c>
      <c r="G329" t="inlineStr">
        <is>
          <t>Base</t>
        </is>
      </c>
      <c r="I329" t="n">
        <v>0</v>
      </c>
    </row>
    <row r="330" ht="20" customHeight="1">
      <c r="A330" t="inlineStr">
        <is>
          <t>Grupo E</t>
        </is>
      </c>
      <c r="B330" t="inlineStr">
        <is>
          <t>GER</t>
        </is>
      </c>
      <c r="C330" t="inlineStr">
        <is>
          <t>Germany</t>
        </is>
      </c>
      <c r="D330" t="n">
        <v>9</v>
      </c>
      <c r="E330" t="inlineStr">
        <is>
          <t>GER9</t>
        </is>
      </c>
      <c r="F330" t="inlineStr">
        <is>
          <t>Maximilian Mittelstadt - Germany</t>
        </is>
      </c>
      <c r="G330" t="inlineStr">
        <is>
          <t>Base</t>
        </is>
      </c>
      <c r="I330" t="n">
        <v>0</v>
      </c>
    </row>
    <row r="331" ht="20" customHeight="1">
      <c r="A331" t="inlineStr">
        <is>
          <t>Grupo E</t>
        </is>
      </c>
      <c r="B331" t="inlineStr">
        <is>
          <t>GER</t>
        </is>
      </c>
      <c r="C331" t="inlineStr">
        <is>
          <t>Germany</t>
        </is>
      </c>
      <c r="D331" t="n">
        <v>10</v>
      </c>
      <c r="E331" t="inlineStr">
        <is>
          <t>GER10</t>
        </is>
      </c>
      <c r="F331" t="inlineStr">
        <is>
          <t>Joshua Kimmich - Germany</t>
        </is>
      </c>
      <c r="G331" t="inlineStr">
        <is>
          <t>Base</t>
        </is>
      </c>
      <c r="I331" t="n">
        <v>0</v>
      </c>
    </row>
    <row r="332" ht="20" customHeight="1">
      <c r="A332" t="inlineStr">
        <is>
          <t>Grupo E</t>
        </is>
      </c>
      <c r="B332" t="inlineStr">
        <is>
          <t>GER</t>
        </is>
      </c>
      <c r="C332" t="inlineStr">
        <is>
          <t>Germany</t>
        </is>
      </c>
      <c r="D332" t="n">
        <v>11</v>
      </c>
      <c r="E332" t="inlineStr">
        <is>
          <t>GER11</t>
        </is>
      </c>
      <c r="F332" t="inlineStr">
        <is>
          <t>Florian Wirtz - Germany</t>
        </is>
      </c>
      <c r="G332" t="inlineStr">
        <is>
          <t>Base</t>
        </is>
      </c>
      <c r="I332" t="n">
        <v>0</v>
      </c>
    </row>
    <row r="333" ht="20" customHeight="1">
      <c r="A333" t="inlineStr">
        <is>
          <t>Grupo E</t>
        </is>
      </c>
      <c r="B333" t="inlineStr">
        <is>
          <t>GER</t>
        </is>
      </c>
      <c r="C333" t="inlineStr">
        <is>
          <t>Germany</t>
        </is>
      </c>
      <c r="D333" t="n">
        <v>12</v>
      </c>
      <c r="E333" t="inlineStr">
        <is>
          <t>GER12</t>
        </is>
      </c>
      <c r="F333" t="inlineStr">
        <is>
          <t>Felix Nmecha - Germany</t>
        </is>
      </c>
      <c r="G333" t="inlineStr">
        <is>
          <t>Base</t>
        </is>
      </c>
      <c r="I333" t="n">
        <v>0</v>
      </c>
    </row>
    <row r="334" ht="20" customHeight="1">
      <c r="A334" t="inlineStr">
        <is>
          <t>Grupo E</t>
        </is>
      </c>
      <c r="B334" t="inlineStr">
        <is>
          <t>GER</t>
        </is>
      </c>
      <c r="C334" t="inlineStr">
        <is>
          <t>Germany</t>
        </is>
      </c>
      <c r="D334" t="n">
        <v>13</v>
      </c>
      <c r="E334" t="inlineStr">
        <is>
          <t>GER13</t>
        </is>
      </c>
      <c r="F334" t="inlineStr">
        <is>
          <t>Team Photo - Germany</t>
        </is>
      </c>
      <c r="G334" t="inlineStr">
        <is>
          <t>Base</t>
        </is>
      </c>
      <c r="I334" t="n">
        <v>0</v>
      </c>
    </row>
    <row r="335" ht="20" customHeight="1">
      <c r="A335" t="inlineStr">
        <is>
          <t>Grupo E</t>
        </is>
      </c>
      <c r="B335" t="inlineStr">
        <is>
          <t>GER</t>
        </is>
      </c>
      <c r="C335" t="inlineStr">
        <is>
          <t>Germany</t>
        </is>
      </c>
      <c r="D335" t="n">
        <v>14</v>
      </c>
      <c r="E335" t="inlineStr">
        <is>
          <t>GER14</t>
        </is>
      </c>
      <c r="F335" t="inlineStr">
        <is>
          <t>Leon Goretzka - Germany</t>
        </is>
      </c>
      <c r="G335" t="inlineStr">
        <is>
          <t>Base</t>
        </is>
      </c>
      <c r="I335" t="n">
        <v>0</v>
      </c>
    </row>
    <row r="336" ht="20" customHeight="1">
      <c r="A336" t="inlineStr">
        <is>
          <t>Grupo E</t>
        </is>
      </c>
      <c r="B336" t="inlineStr">
        <is>
          <t>GER</t>
        </is>
      </c>
      <c r="C336" t="inlineStr">
        <is>
          <t>Germany</t>
        </is>
      </c>
      <c r="D336" t="n">
        <v>15</v>
      </c>
      <c r="E336" t="inlineStr">
        <is>
          <t>GER15</t>
        </is>
      </c>
      <c r="F336" t="inlineStr">
        <is>
          <t>Jamal Musiala - Germany</t>
        </is>
      </c>
      <c r="G336" t="inlineStr">
        <is>
          <t>Base</t>
        </is>
      </c>
      <c r="I336" t="n">
        <v>0</v>
      </c>
    </row>
    <row r="337" ht="20" customHeight="1">
      <c r="A337" t="inlineStr">
        <is>
          <t>Grupo E</t>
        </is>
      </c>
      <c r="B337" t="inlineStr">
        <is>
          <t>GER</t>
        </is>
      </c>
      <c r="C337" t="inlineStr">
        <is>
          <t>Germany</t>
        </is>
      </c>
      <c r="D337" t="n">
        <v>16</v>
      </c>
      <c r="E337" t="inlineStr">
        <is>
          <t>GER16</t>
        </is>
      </c>
      <c r="F337" t="inlineStr">
        <is>
          <t>Serge Gnabry - Germany</t>
        </is>
      </c>
      <c r="G337" t="inlineStr">
        <is>
          <t>Base</t>
        </is>
      </c>
      <c r="I337" t="n">
        <v>0</v>
      </c>
    </row>
    <row r="338" ht="20" customHeight="1">
      <c r="A338" t="inlineStr">
        <is>
          <t>Grupo E</t>
        </is>
      </c>
      <c r="B338" t="inlineStr">
        <is>
          <t>GER</t>
        </is>
      </c>
      <c r="C338" t="inlineStr">
        <is>
          <t>Germany</t>
        </is>
      </c>
      <c r="D338" t="n">
        <v>17</v>
      </c>
      <c r="E338" t="inlineStr">
        <is>
          <t>GER17</t>
        </is>
      </c>
      <c r="F338" t="inlineStr">
        <is>
          <t>Kai Havertz - Germany</t>
        </is>
      </c>
      <c r="G338" t="inlineStr">
        <is>
          <t>Base</t>
        </is>
      </c>
      <c r="I338" t="n">
        <v>0</v>
      </c>
    </row>
    <row r="339" ht="20" customHeight="1">
      <c r="A339" t="inlineStr">
        <is>
          <t>Grupo E</t>
        </is>
      </c>
      <c r="B339" t="inlineStr">
        <is>
          <t>GER</t>
        </is>
      </c>
      <c r="C339" t="inlineStr">
        <is>
          <t>Germany</t>
        </is>
      </c>
      <c r="D339" t="n">
        <v>18</v>
      </c>
      <c r="E339" t="inlineStr">
        <is>
          <t>GER18</t>
        </is>
      </c>
      <c r="F339" t="inlineStr">
        <is>
          <t>Leroy Sane - Germany</t>
        </is>
      </c>
      <c r="G339" t="inlineStr">
        <is>
          <t>Base</t>
        </is>
      </c>
      <c r="I339" t="n">
        <v>0</v>
      </c>
    </row>
    <row r="340" ht="20" customHeight="1">
      <c r="A340" t="inlineStr">
        <is>
          <t>Grupo E</t>
        </is>
      </c>
      <c r="B340" t="inlineStr">
        <is>
          <t>GER</t>
        </is>
      </c>
      <c r="C340" t="inlineStr">
        <is>
          <t>Germany</t>
        </is>
      </c>
      <c r="D340" t="n">
        <v>19</v>
      </c>
      <c r="E340" t="inlineStr">
        <is>
          <t>GER19</t>
        </is>
      </c>
      <c r="F340" t="inlineStr">
        <is>
          <t>Karim Adeyemi - Germany</t>
        </is>
      </c>
      <c r="G340" t="inlineStr">
        <is>
          <t>Base</t>
        </is>
      </c>
      <c r="I340" t="n">
        <v>0</v>
      </c>
    </row>
    <row r="341" ht="20" customHeight="1">
      <c r="A341" t="inlineStr">
        <is>
          <t>Grupo E</t>
        </is>
      </c>
      <c r="B341" t="inlineStr">
        <is>
          <t>GER</t>
        </is>
      </c>
      <c r="C341" t="inlineStr">
        <is>
          <t>Germany</t>
        </is>
      </c>
      <c r="D341" t="n">
        <v>20</v>
      </c>
      <c r="E341" t="inlineStr">
        <is>
          <t>GER20</t>
        </is>
      </c>
      <c r="F341" t="inlineStr">
        <is>
          <t>Nick Woltemade - Germany</t>
        </is>
      </c>
      <c r="G341" t="inlineStr">
        <is>
          <t>Base</t>
        </is>
      </c>
      <c r="I341" t="n">
        <v>0</v>
      </c>
    </row>
    <row r="342" ht="20" customHeight="1">
      <c r="A342" t="inlineStr">
        <is>
          <t>Grupo E</t>
        </is>
      </c>
      <c r="B342" t="inlineStr">
        <is>
          <t>CUW</t>
        </is>
      </c>
      <c r="C342" t="inlineStr">
        <is>
          <t>Curaçao</t>
        </is>
      </c>
      <c r="D342" t="n">
        <v>1</v>
      </c>
      <c r="E342" t="inlineStr">
        <is>
          <t>CUW1</t>
        </is>
      </c>
      <c r="F342" t="inlineStr">
        <is>
          <t>Team Logo - Curaçao FOIL</t>
        </is>
      </c>
      <c r="G342" t="inlineStr">
        <is>
          <t>FOIL</t>
        </is>
      </c>
      <c r="I342" t="n">
        <v>0</v>
      </c>
    </row>
    <row r="343" ht="20" customHeight="1">
      <c r="A343" t="inlineStr">
        <is>
          <t>Grupo E</t>
        </is>
      </c>
      <c r="B343" t="inlineStr">
        <is>
          <t>CUW</t>
        </is>
      </c>
      <c r="C343" t="inlineStr">
        <is>
          <t>Curaçao</t>
        </is>
      </c>
      <c r="D343" t="n">
        <v>2</v>
      </c>
      <c r="E343" t="inlineStr">
        <is>
          <t>CUW2</t>
        </is>
      </c>
      <c r="F343" t="inlineStr">
        <is>
          <t>Eloy Room - Curaçao</t>
        </is>
      </c>
      <c r="G343" t="inlineStr">
        <is>
          <t>Base</t>
        </is>
      </c>
      <c r="I343" t="n">
        <v>0</v>
      </c>
    </row>
    <row r="344" ht="20" customHeight="1">
      <c r="A344" t="inlineStr">
        <is>
          <t>Grupo E</t>
        </is>
      </c>
      <c r="B344" t="inlineStr">
        <is>
          <t>CUW</t>
        </is>
      </c>
      <c r="C344" t="inlineStr">
        <is>
          <t>Curaçao</t>
        </is>
      </c>
      <c r="D344" t="n">
        <v>3</v>
      </c>
      <c r="E344" t="inlineStr">
        <is>
          <t>CUW3</t>
        </is>
      </c>
      <c r="F344" t="inlineStr">
        <is>
          <t>Armando Obispo - Curaçao</t>
        </is>
      </c>
      <c r="G344" t="inlineStr">
        <is>
          <t>Base</t>
        </is>
      </c>
      <c r="I344" t="n">
        <v>0</v>
      </c>
    </row>
    <row r="345" ht="20" customHeight="1">
      <c r="A345" t="inlineStr">
        <is>
          <t>Grupo E</t>
        </is>
      </c>
      <c r="B345" t="inlineStr">
        <is>
          <t>CUW</t>
        </is>
      </c>
      <c r="C345" t="inlineStr">
        <is>
          <t>Curaçao</t>
        </is>
      </c>
      <c r="D345" t="n">
        <v>4</v>
      </c>
      <c r="E345" t="inlineStr">
        <is>
          <t>CUW4</t>
        </is>
      </c>
      <c r="F345" t="inlineStr">
        <is>
          <t>Sherel Floranus - Curaçao</t>
        </is>
      </c>
      <c r="G345" t="inlineStr">
        <is>
          <t>Base</t>
        </is>
      </c>
      <c r="I345" t="n">
        <v>0</v>
      </c>
    </row>
    <row r="346" ht="20" customHeight="1">
      <c r="A346" t="inlineStr">
        <is>
          <t>Grupo E</t>
        </is>
      </c>
      <c r="B346" t="inlineStr">
        <is>
          <t>CUW</t>
        </is>
      </c>
      <c r="C346" t="inlineStr">
        <is>
          <t>Curaçao</t>
        </is>
      </c>
      <c r="D346" t="n">
        <v>5</v>
      </c>
      <c r="E346" t="inlineStr">
        <is>
          <t>CUW5</t>
        </is>
      </c>
      <c r="F346" t="inlineStr">
        <is>
          <t>Jurien Gaari - Curaçao</t>
        </is>
      </c>
      <c r="G346" t="inlineStr">
        <is>
          <t>Base</t>
        </is>
      </c>
      <c r="I346" t="n">
        <v>0</v>
      </c>
    </row>
    <row r="347" ht="20" customHeight="1">
      <c r="A347" t="inlineStr">
        <is>
          <t>Grupo E</t>
        </is>
      </c>
      <c r="B347" t="inlineStr">
        <is>
          <t>CUW</t>
        </is>
      </c>
      <c r="C347" t="inlineStr">
        <is>
          <t>Curaçao</t>
        </is>
      </c>
      <c r="D347" t="n">
        <v>6</v>
      </c>
      <c r="E347" t="inlineStr">
        <is>
          <t>CUW6</t>
        </is>
      </c>
      <c r="F347" t="inlineStr">
        <is>
          <t>Joshua Brenet - Curaçao</t>
        </is>
      </c>
      <c r="G347" t="inlineStr">
        <is>
          <t>Base</t>
        </is>
      </c>
      <c r="I347" t="n">
        <v>0</v>
      </c>
    </row>
    <row r="348" ht="20" customHeight="1">
      <c r="A348" t="inlineStr">
        <is>
          <t>Grupo E</t>
        </is>
      </c>
      <c r="B348" t="inlineStr">
        <is>
          <t>CUW</t>
        </is>
      </c>
      <c r="C348" t="inlineStr">
        <is>
          <t>Curaçao</t>
        </is>
      </c>
      <c r="D348" t="n">
        <v>7</v>
      </c>
      <c r="E348" t="inlineStr">
        <is>
          <t>CUW7</t>
        </is>
      </c>
      <c r="F348" t="inlineStr">
        <is>
          <t>Roshon Van Eijma - Curaçao</t>
        </is>
      </c>
      <c r="G348" t="inlineStr">
        <is>
          <t>Base</t>
        </is>
      </c>
      <c r="I348" t="n">
        <v>0</v>
      </c>
    </row>
    <row r="349" ht="20" customHeight="1">
      <c r="A349" t="inlineStr">
        <is>
          <t>Grupo E</t>
        </is>
      </c>
      <c r="B349" t="inlineStr">
        <is>
          <t>CUW</t>
        </is>
      </c>
      <c r="C349" t="inlineStr">
        <is>
          <t>Curaçao</t>
        </is>
      </c>
      <c r="D349" t="n">
        <v>8</v>
      </c>
      <c r="E349" t="inlineStr">
        <is>
          <t>CUW8</t>
        </is>
      </c>
      <c r="F349" t="inlineStr">
        <is>
          <t>Shurandy Sambo - Curaçao</t>
        </is>
      </c>
      <c r="G349" t="inlineStr">
        <is>
          <t>Base</t>
        </is>
      </c>
      <c r="I349" t="n">
        <v>0</v>
      </c>
    </row>
    <row r="350" ht="20" customHeight="1">
      <c r="A350" t="inlineStr">
        <is>
          <t>Grupo E</t>
        </is>
      </c>
      <c r="B350" t="inlineStr">
        <is>
          <t>CUW</t>
        </is>
      </c>
      <c r="C350" t="inlineStr">
        <is>
          <t>Curaçao</t>
        </is>
      </c>
      <c r="D350" t="n">
        <v>9</v>
      </c>
      <c r="E350" t="inlineStr">
        <is>
          <t>CUW9</t>
        </is>
      </c>
      <c r="F350" t="inlineStr">
        <is>
          <t>Livano Comenencia - Curaçao</t>
        </is>
      </c>
      <c r="G350" t="inlineStr">
        <is>
          <t>Base</t>
        </is>
      </c>
      <c r="I350" t="n">
        <v>0</v>
      </c>
    </row>
    <row r="351" ht="20" customHeight="1">
      <c r="A351" t="inlineStr">
        <is>
          <t>Grupo E</t>
        </is>
      </c>
      <c r="B351" t="inlineStr">
        <is>
          <t>CUW</t>
        </is>
      </c>
      <c r="C351" t="inlineStr">
        <is>
          <t>Curaçao</t>
        </is>
      </c>
      <c r="D351" t="n">
        <v>10</v>
      </c>
      <c r="E351" t="inlineStr">
        <is>
          <t>CUW10</t>
        </is>
      </c>
      <c r="F351" t="inlineStr">
        <is>
          <t>Godfried Roemeratoe - Curaçao</t>
        </is>
      </c>
      <c r="G351" t="inlineStr">
        <is>
          <t>Base</t>
        </is>
      </c>
      <c r="I351" t="n">
        <v>0</v>
      </c>
    </row>
    <row r="352" ht="20" customHeight="1">
      <c r="A352" t="inlineStr">
        <is>
          <t>Grupo E</t>
        </is>
      </c>
      <c r="B352" t="inlineStr">
        <is>
          <t>CUW</t>
        </is>
      </c>
      <c r="C352" t="inlineStr">
        <is>
          <t>Curaçao</t>
        </is>
      </c>
      <c r="D352" t="n">
        <v>11</v>
      </c>
      <c r="E352" t="inlineStr">
        <is>
          <t>CUW11</t>
        </is>
      </c>
      <c r="F352" t="inlineStr">
        <is>
          <t>Juninho Bacuna - Curaçao</t>
        </is>
      </c>
      <c r="G352" t="inlineStr">
        <is>
          <t>Base</t>
        </is>
      </c>
      <c r="I352" t="n">
        <v>0</v>
      </c>
    </row>
    <row r="353" ht="20" customHeight="1">
      <c r="A353" t="inlineStr">
        <is>
          <t>Grupo E</t>
        </is>
      </c>
      <c r="B353" t="inlineStr">
        <is>
          <t>CUW</t>
        </is>
      </c>
      <c r="C353" t="inlineStr">
        <is>
          <t>Curaçao</t>
        </is>
      </c>
      <c r="D353" t="n">
        <v>12</v>
      </c>
      <c r="E353" t="inlineStr">
        <is>
          <t>CUW12</t>
        </is>
      </c>
      <c r="F353" t="inlineStr">
        <is>
          <t>Leandro Bacuna - Curaçao</t>
        </is>
      </c>
      <c r="G353" t="inlineStr">
        <is>
          <t>Base</t>
        </is>
      </c>
      <c r="I353" t="n">
        <v>0</v>
      </c>
    </row>
    <row r="354" ht="20" customHeight="1">
      <c r="A354" t="inlineStr">
        <is>
          <t>Grupo E</t>
        </is>
      </c>
      <c r="B354" t="inlineStr">
        <is>
          <t>CUW</t>
        </is>
      </c>
      <c r="C354" t="inlineStr">
        <is>
          <t>Curaçao</t>
        </is>
      </c>
      <c r="D354" t="n">
        <v>13</v>
      </c>
      <c r="E354" t="inlineStr">
        <is>
          <t>CUW13</t>
        </is>
      </c>
      <c r="F354" t="inlineStr">
        <is>
          <t>Team Photo - Curaçao</t>
        </is>
      </c>
      <c r="G354" t="inlineStr">
        <is>
          <t>Base</t>
        </is>
      </c>
      <c r="I354" t="n">
        <v>0</v>
      </c>
    </row>
    <row r="355" ht="20" customHeight="1">
      <c r="A355" t="inlineStr">
        <is>
          <t>Grupo E</t>
        </is>
      </c>
      <c r="B355" t="inlineStr">
        <is>
          <t>CUW</t>
        </is>
      </c>
      <c r="C355" t="inlineStr">
        <is>
          <t>Curaçao</t>
        </is>
      </c>
      <c r="D355" t="n">
        <v>14</v>
      </c>
      <c r="E355" t="inlineStr">
        <is>
          <t>CUW14</t>
        </is>
      </c>
      <c r="F355" t="inlineStr">
        <is>
          <t>Tahith Chong - Curaçao</t>
        </is>
      </c>
      <c r="G355" t="inlineStr">
        <is>
          <t>Base</t>
        </is>
      </c>
      <c r="I355" t="n">
        <v>0</v>
      </c>
    </row>
    <row r="356" ht="20" customHeight="1">
      <c r="A356" t="inlineStr">
        <is>
          <t>Grupo E</t>
        </is>
      </c>
      <c r="B356" t="inlineStr">
        <is>
          <t>CUW</t>
        </is>
      </c>
      <c r="C356" t="inlineStr">
        <is>
          <t>Curaçao</t>
        </is>
      </c>
      <c r="D356" t="n">
        <v>15</v>
      </c>
      <c r="E356" t="inlineStr">
        <is>
          <t>CUW15</t>
        </is>
      </c>
      <c r="F356" t="inlineStr">
        <is>
          <t>Kenji Gorre - Curaçao</t>
        </is>
      </c>
      <c r="G356" t="inlineStr">
        <is>
          <t>Base</t>
        </is>
      </c>
      <c r="I356" t="n">
        <v>0</v>
      </c>
    </row>
    <row r="357" ht="20" customHeight="1">
      <c r="A357" t="inlineStr">
        <is>
          <t>Grupo E</t>
        </is>
      </c>
      <c r="B357" t="inlineStr">
        <is>
          <t>CUW</t>
        </is>
      </c>
      <c r="C357" t="inlineStr">
        <is>
          <t>Curaçao</t>
        </is>
      </c>
      <c r="D357" t="n">
        <v>16</v>
      </c>
      <c r="E357" t="inlineStr">
        <is>
          <t>CUW16</t>
        </is>
      </c>
      <c r="F357" t="inlineStr">
        <is>
          <t>Jearl Margaritha - Curaçao</t>
        </is>
      </c>
      <c r="G357" t="inlineStr">
        <is>
          <t>Base</t>
        </is>
      </c>
      <c r="I357" t="n">
        <v>0</v>
      </c>
    </row>
    <row r="358" ht="20" customHeight="1">
      <c r="A358" t="inlineStr">
        <is>
          <t>Grupo E</t>
        </is>
      </c>
      <c r="B358" t="inlineStr">
        <is>
          <t>CUW</t>
        </is>
      </c>
      <c r="C358" t="inlineStr">
        <is>
          <t>Curaçao</t>
        </is>
      </c>
      <c r="D358" t="n">
        <v>17</v>
      </c>
      <c r="E358" t="inlineStr">
        <is>
          <t>CUW17</t>
        </is>
      </c>
      <c r="F358" t="inlineStr">
        <is>
          <t>Jurgen Locadia - Curaçao</t>
        </is>
      </c>
      <c r="G358" t="inlineStr">
        <is>
          <t>Base</t>
        </is>
      </c>
      <c r="I358" t="n">
        <v>0</v>
      </c>
    </row>
    <row r="359" ht="20" customHeight="1">
      <c r="A359" t="inlineStr">
        <is>
          <t>Grupo E</t>
        </is>
      </c>
      <c r="B359" t="inlineStr">
        <is>
          <t>CUW</t>
        </is>
      </c>
      <c r="C359" t="inlineStr">
        <is>
          <t>Curaçao</t>
        </is>
      </c>
      <c r="D359" t="n">
        <v>18</v>
      </c>
      <c r="E359" t="inlineStr">
        <is>
          <t>CUW18</t>
        </is>
      </c>
      <c r="F359" t="inlineStr">
        <is>
          <t>Jeremy Antonisse - Curaçao</t>
        </is>
      </c>
      <c r="G359" t="inlineStr">
        <is>
          <t>Base</t>
        </is>
      </c>
      <c r="I359" t="n">
        <v>0</v>
      </c>
    </row>
    <row r="360" ht="20" customHeight="1">
      <c r="A360" t="inlineStr">
        <is>
          <t>Grupo E</t>
        </is>
      </c>
      <c r="B360" t="inlineStr">
        <is>
          <t>CUW</t>
        </is>
      </c>
      <c r="C360" t="inlineStr">
        <is>
          <t>Curaçao</t>
        </is>
      </c>
      <c r="D360" t="n">
        <v>19</v>
      </c>
      <c r="E360" t="inlineStr">
        <is>
          <t>CUW19</t>
        </is>
      </c>
      <c r="F360" t="inlineStr">
        <is>
          <t>Gervane Kastaneer - Curaçao</t>
        </is>
      </c>
      <c r="G360" t="inlineStr">
        <is>
          <t>Base</t>
        </is>
      </c>
      <c r="I360" t="n">
        <v>0</v>
      </c>
    </row>
    <row r="361" ht="20" customHeight="1">
      <c r="A361" t="inlineStr">
        <is>
          <t>Grupo E</t>
        </is>
      </c>
      <c r="B361" t="inlineStr">
        <is>
          <t>CUW</t>
        </is>
      </c>
      <c r="C361" t="inlineStr">
        <is>
          <t>Curaçao</t>
        </is>
      </c>
      <c r="D361" t="n">
        <v>20</v>
      </c>
      <c r="E361" t="inlineStr">
        <is>
          <t>CUW20</t>
        </is>
      </c>
      <c r="F361" t="inlineStr">
        <is>
          <t>Sontje Hansen - Curaçao</t>
        </is>
      </c>
      <c r="G361" t="inlineStr">
        <is>
          <t>Base</t>
        </is>
      </c>
      <c r="I361" t="n">
        <v>0</v>
      </c>
    </row>
    <row r="362" ht="20" customHeight="1">
      <c r="A362" t="inlineStr">
        <is>
          <t>Grupo E</t>
        </is>
      </c>
      <c r="B362" t="inlineStr">
        <is>
          <t>CIV</t>
        </is>
      </c>
      <c r="C362" t="inlineStr">
        <is>
          <t>Ivory Coast</t>
        </is>
      </c>
      <c r="D362" t="n">
        <v>1</v>
      </c>
      <c r="E362" t="inlineStr">
        <is>
          <t>CIV1</t>
        </is>
      </c>
      <c r="F362" t="inlineStr">
        <is>
          <t>Team Logo - Ivory Coast FOIL</t>
        </is>
      </c>
      <c r="G362" t="inlineStr">
        <is>
          <t>FOIL</t>
        </is>
      </c>
      <c r="I362" t="n">
        <v>0</v>
      </c>
    </row>
    <row r="363" ht="20" customHeight="1">
      <c r="A363" t="inlineStr">
        <is>
          <t>Grupo E</t>
        </is>
      </c>
      <c r="B363" t="inlineStr">
        <is>
          <t>CIV</t>
        </is>
      </c>
      <c r="C363" t="inlineStr">
        <is>
          <t>Ivory Coast</t>
        </is>
      </c>
      <c r="D363" t="n">
        <v>2</v>
      </c>
      <c r="E363" t="inlineStr">
        <is>
          <t>CIV2</t>
        </is>
      </c>
      <c r="F363" t="inlineStr">
        <is>
          <t>Yahia Fofana - Ivory Coast</t>
        </is>
      </c>
      <c r="G363" t="inlineStr">
        <is>
          <t>Base</t>
        </is>
      </c>
      <c r="I363" t="n">
        <v>0</v>
      </c>
    </row>
    <row r="364" ht="20" customHeight="1">
      <c r="A364" t="inlineStr">
        <is>
          <t>Grupo E</t>
        </is>
      </c>
      <c r="B364" t="inlineStr">
        <is>
          <t>CIV</t>
        </is>
      </c>
      <c r="C364" t="inlineStr">
        <is>
          <t>Ivory Coast</t>
        </is>
      </c>
      <c r="D364" t="n">
        <v>3</v>
      </c>
      <c r="E364" t="inlineStr">
        <is>
          <t>CIV3</t>
        </is>
      </c>
      <c r="F364" t="inlineStr">
        <is>
          <t>Ghislain Konan - Ivory Coast</t>
        </is>
      </c>
      <c r="G364" t="inlineStr">
        <is>
          <t>Base</t>
        </is>
      </c>
      <c r="I364" t="n">
        <v>0</v>
      </c>
    </row>
    <row r="365" ht="20" customHeight="1">
      <c r="A365" t="inlineStr">
        <is>
          <t>Grupo E</t>
        </is>
      </c>
      <c r="B365" t="inlineStr">
        <is>
          <t>CIV</t>
        </is>
      </c>
      <c r="C365" t="inlineStr">
        <is>
          <t>Ivory Coast</t>
        </is>
      </c>
      <c r="D365" t="n">
        <v>4</v>
      </c>
      <c r="E365" t="inlineStr">
        <is>
          <t>CIV4</t>
        </is>
      </c>
      <c r="F365" t="inlineStr">
        <is>
          <t>Wilfried Singo - Ivory Coast</t>
        </is>
      </c>
      <c r="G365" t="inlineStr">
        <is>
          <t>Base</t>
        </is>
      </c>
      <c r="I365" t="n">
        <v>0</v>
      </c>
    </row>
    <row r="366" ht="20" customHeight="1">
      <c r="A366" t="inlineStr">
        <is>
          <t>Grupo E</t>
        </is>
      </c>
      <c r="B366" t="inlineStr">
        <is>
          <t>CIV</t>
        </is>
      </c>
      <c r="C366" t="inlineStr">
        <is>
          <t>Ivory Coast</t>
        </is>
      </c>
      <c r="D366" t="n">
        <v>5</v>
      </c>
      <c r="E366" t="inlineStr">
        <is>
          <t>CIV5</t>
        </is>
      </c>
      <c r="F366" t="inlineStr">
        <is>
          <t>Odilon Kossounou - Ivory Coast</t>
        </is>
      </c>
      <c r="G366" t="inlineStr">
        <is>
          <t>Base</t>
        </is>
      </c>
      <c r="I366" t="n">
        <v>0</v>
      </c>
    </row>
    <row r="367" ht="20" customHeight="1">
      <c r="A367" t="inlineStr">
        <is>
          <t>Grupo E</t>
        </is>
      </c>
      <c r="B367" t="inlineStr">
        <is>
          <t>CIV</t>
        </is>
      </c>
      <c r="C367" t="inlineStr">
        <is>
          <t>Ivory Coast</t>
        </is>
      </c>
      <c r="D367" t="n">
        <v>6</v>
      </c>
      <c r="E367" t="inlineStr">
        <is>
          <t>CIV6</t>
        </is>
      </c>
      <c r="F367" t="inlineStr">
        <is>
          <t>Evan Ndicka - Ivory Coast</t>
        </is>
      </c>
      <c r="G367" t="inlineStr">
        <is>
          <t>Base</t>
        </is>
      </c>
      <c r="I367" t="n">
        <v>0</v>
      </c>
    </row>
    <row r="368" ht="20" customHeight="1">
      <c r="A368" t="inlineStr">
        <is>
          <t>Grupo E</t>
        </is>
      </c>
      <c r="B368" t="inlineStr">
        <is>
          <t>CIV</t>
        </is>
      </c>
      <c r="C368" t="inlineStr">
        <is>
          <t>Ivory Coast</t>
        </is>
      </c>
      <c r="D368" t="n">
        <v>7</v>
      </c>
      <c r="E368" t="inlineStr">
        <is>
          <t>CIV7</t>
        </is>
      </c>
      <c r="F368" t="inlineStr">
        <is>
          <t>Willy Boly - Ivory Coast</t>
        </is>
      </c>
      <c r="G368" t="inlineStr">
        <is>
          <t>Base</t>
        </is>
      </c>
      <c r="I368" t="n">
        <v>0</v>
      </c>
    </row>
    <row r="369" ht="20" customHeight="1">
      <c r="A369" t="inlineStr">
        <is>
          <t>Grupo E</t>
        </is>
      </c>
      <c r="B369" t="inlineStr">
        <is>
          <t>CIV</t>
        </is>
      </c>
      <c r="C369" t="inlineStr">
        <is>
          <t>Ivory Coast</t>
        </is>
      </c>
      <c r="D369" t="n">
        <v>8</v>
      </c>
      <c r="E369" t="inlineStr">
        <is>
          <t>CIV8</t>
        </is>
      </c>
      <c r="F369" t="inlineStr">
        <is>
          <t>Emmanuel Agbadou - Ivory Coast</t>
        </is>
      </c>
      <c r="G369" t="inlineStr">
        <is>
          <t>Base</t>
        </is>
      </c>
      <c r="I369" t="n">
        <v>0</v>
      </c>
    </row>
    <row r="370" ht="20" customHeight="1">
      <c r="A370" t="inlineStr">
        <is>
          <t>Grupo E</t>
        </is>
      </c>
      <c r="B370" t="inlineStr">
        <is>
          <t>CIV</t>
        </is>
      </c>
      <c r="C370" t="inlineStr">
        <is>
          <t>Ivory Coast</t>
        </is>
      </c>
      <c r="D370" t="n">
        <v>9</v>
      </c>
      <c r="E370" t="inlineStr">
        <is>
          <t>CIV9</t>
        </is>
      </c>
      <c r="F370" t="inlineStr">
        <is>
          <t>Ousmane Diomande - Ivory Coast</t>
        </is>
      </c>
      <c r="G370" t="inlineStr">
        <is>
          <t>Base</t>
        </is>
      </c>
      <c r="I370" t="n">
        <v>0</v>
      </c>
    </row>
    <row r="371" ht="20" customHeight="1">
      <c r="A371" t="inlineStr">
        <is>
          <t>Grupo E</t>
        </is>
      </c>
      <c r="B371" t="inlineStr">
        <is>
          <t>CIV</t>
        </is>
      </c>
      <c r="C371" t="inlineStr">
        <is>
          <t>Ivory Coast</t>
        </is>
      </c>
      <c r="D371" t="n">
        <v>10</v>
      </c>
      <c r="E371" t="inlineStr">
        <is>
          <t>CIV10</t>
        </is>
      </c>
      <c r="F371" t="inlineStr">
        <is>
          <t>Franck Kessie - Ivory Coast</t>
        </is>
      </c>
      <c r="G371" t="inlineStr">
        <is>
          <t>Base</t>
        </is>
      </c>
      <c r="I371" t="n">
        <v>0</v>
      </c>
    </row>
    <row r="372" ht="20" customHeight="1">
      <c r="A372" t="inlineStr">
        <is>
          <t>Grupo E</t>
        </is>
      </c>
      <c r="B372" t="inlineStr">
        <is>
          <t>CIV</t>
        </is>
      </c>
      <c r="C372" t="inlineStr">
        <is>
          <t>Ivory Coast</t>
        </is>
      </c>
      <c r="D372" t="n">
        <v>11</v>
      </c>
      <c r="E372" t="inlineStr">
        <is>
          <t>CIV11</t>
        </is>
      </c>
      <c r="F372" t="inlineStr">
        <is>
          <t>Seko Fofana - Ivory Coast</t>
        </is>
      </c>
      <c r="G372" t="inlineStr">
        <is>
          <t>Base</t>
        </is>
      </c>
      <c r="I372" t="n">
        <v>0</v>
      </c>
    </row>
    <row r="373" ht="20" customHeight="1">
      <c r="A373" t="inlineStr">
        <is>
          <t>Grupo E</t>
        </is>
      </c>
      <c r="B373" t="inlineStr">
        <is>
          <t>CIV</t>
        </is>
      </c>
      <c r="C373" t="inlineStr">
        <is>
          <t>Ivory Coast</t>
        </is>
      </c>
      <c r="D373" t="n">
        <v>12</v>
      </c>
      <c r="E373" t="inlineStr">
        <is>
          <t>CIV12</t>
        </is>
      </c>
      <c r="F373" t="inlineStr">
        <is>
          <t>Ibrahim Sangare - Ivory Coast</t>
        </is>
      </c>
      <c r="G373" t="inlineStr">
        <is>
          <t>Base</t>
        </is>
      </c>
      <c r="I373" t="n">
        <v>0</v>
      </c>
    </row>
    <row r="374" ht="20" customHeight="1">
      <c r="A374" t="inlineStr">
        <is>
          <t>Grupo E</t>
        </is>
      </c>
      <c r="B374" t="inlineStr">
        <is>
          <t>CIV</t>
        </is>
      </c>
      <c r="C374" t="inlineStr">
        <is>
          <t>Ivory Coast</t>
        </is>
      </c>
      <c r="D374" t="n">
        <v>13</v>
      </c>
      <c r="E374" t="inlineStr">
        <is>
          <t>CIV13</t>
        </is>
      </c>
      <c r="F374" t="inlineStr">
        <is>
          <t>Team Photo - Ivory Coast</t>
        </is>
      </c>
      <c r="G374" t="inlineStr">
        <is>
          <t>Base</t>
        </is>
      </c>
      <c r="I374" t="n">
        <v>0</v>
      </c>
    </row>
    <row r="375" ht="20" customHeight="1">
      <c r="A375" t="inlineStr">
        <is>
          <t>Grupo E</t>
        </is>
      </c>
      <c r="B375" t="inlineStr">
        <is>
          <t>CIV</t>
        </is>
      </c>
      <c r="C375" t="inlineStr">
        <is>
          <t>Ivory Coast</t>
        </is>
      </c>
      <c r="D375" t="n">
        <v>14</v>
      </c>
      <c r="E375" t="inlineStr">
        <is>
          <t>CIV14</t>
        </is>
      </c>
      <c r="F375" t="inlineStr">
        <is>
          <t>Jean-Philippe Gbamin - Ivory Coast</t>
        </is>
      </c>
      <c r="G375" t="inlineStr">
        <is>
          <t>Base</t>
        </is>
      </c>
      <c r="I375" t="n">
        <v>0</v>
      </c>
    </row>
    <row r="376" ht="20" customHeight="1">
      <c r="A376" t="inlineStr">
        <is>
          <t>Grupo E</t>
        </is>
      </c>
      <c r="B376" t="inlineStr">
        <is>
          <t>CIV</t>
        </is>
      </c>
      <c r="C376" t="inlineStr">
        <is>
          <t>Ivory Coast</t>
        </is>
      </c>
      <c r="D376" t="n">
        <v>15</v>
      </c>
      <c r="E376" t="inlineStr">
        <is>
          <t>CIV15</t>
        </is>
      </c>
      <c r="F376" t="inlineStr">
        <is>
          <t>Amad Diallo - Ivory Coast</t>
        </is>
      </c>
      <c r="G376" t="inlineStr">
        <is>
          <t>Base</t>
        </is>
      </c>
      <c r="I376" t="n">
        <v>0</v>
      </c>
    </row>
    <row r="377" ht="20" customHeight="1">
      <c r="A377" t="inlineStr">
        <is>
          <t>Grupo E</t>
        </is>
      </c>
      <c r="B377" t="inlineStr">
        <is>
          <t>CIV</t>
        </is>
      </c>
      <c r="C377" t="inlineStr">
        <is>
          <t>Ivory Coast</t>
        </is>
      </c>
      <c r="D377" t="n">
        <v>16</v>
      </c>
      <c r="E377" t="inlineStr">
        <is>
          <t>CIV16</t>
        </is>
      </c>
      <c r="F377" t="inlineStr">
        <is>
          <t>Sébastien Haller - Ivory Coast</t>
        </is>
      </c>
      <c r="G377" t="inlineStr">
        <is>
          <t>Base</t>
        </is>
      </c>
      <c r="I377" t="n">
        <v>0</v>
      </c>
    </row>
    <row r="378" ht="20" customHeight="1">
      <c r="A378" t="inlineStr">
        <is>
          <t>Grupo E</t>
        </is>
      </c>
      <c r="B378" t="inlineStr">
        <is>
          <t>CIV</t>
        </is>
      </c>
      <c r="C378" t="inlineStr">
        <is>
          <t>Ivory Coast</t>
        </is>
      </c>
      <c r="D378" t="n">
        <v>17</v>
      </c>
      <c r="E378" t="inlineStr">
        <is>
          <t>CIV17</t>
        </is>
      </c>
      <c r="F378" t="inlineStr">
        <is>
          <t>Simon Adingra - Ivory Coast</t>
        </is>
      </c>
      <c r="G378" t="inlineStr">
        <is>
          <t>Base</t>
        </is>
      </c>
      <c r="I378" t="n">
        <v>0</v>
      </c>
    </row>
    <row r="379" ht="20" customHeight="1">
      <c r="A379" t="inlineStr">
        <is>
          <t>Grupo E</t>
        </is>
      </c>
      <c r="B379" t="inlineStr">
        <is>
          <t>CIV</t>
        </is>
      </c>
      <c r="C379" t="inlineStr">
        <is>
          <t>Ivory Coast</t>
        </is>
      </c>
      <c r="D379" t="n">
        <v>18</v>
      </c>
      <c r="E379" t="inlineStr">
        <is>
          <t>CIV18</t>
        </is>
      </c>
      <c r="F379" t="inlineStr">
        <is>
          <t>Yan Diomande - Ivory Coast</t>
        </is>
      </c>
      <c r="G379" t="inlineStr">
        <is>
          <t>Base</t>
        </is>
      </c>
      <c r="I379" t="n">
        <v>0</v>
      </c>
    </row>
    <row r="380" ht="20" customHeight="1">
      <c r="A380" t="inlineStr">
        <is>
          <t>Grupo E</t>
        </is>
      </c>
      <c r="B380" t="inlineStr">
        <is>
          <t>CIV</t>
        </is>
      </c>
      <c r="C380" t="inlineStr">
        <is>
          <t>Ivory Coast</t>
        </is>
      </c>
      <c r="D380" t="n">
        <v>19</v>
      </c>
      <c r="E380" t="inlineStr">
        <is>
          <t>CIV19</t>
        </is>
      </c>
      <c r="F380" t="inlineStr">
        <is>
          <t>Evann Guessand - Ivory Coast</t>
        </is>
      </c>
      <c r="G380" t="inlineStr">
        <is>
          <t>Base</t>
        </is>
      </c>
      <c r="I380" t="n">
        <v>0</v>
      </c>
    </row>
    <row r="381" ht="20" customHeight="1">
      <c r="A381" t="inlineStr">
        <is>
          <t>Grupo E</t>
        </is>
      </c>
      <c r="B381" t="inlineStr">
        <is>
          <t>CIV</t>
        </is>
      </c>
      <c r="C381" t="inlineStr">
        <is>
          <t>Ivory Coast</t>
        </is>
      </c>
      <c r="D381" t="n">
        <v>20</v>
      </c>
      <c r="E381" t="inlineStr">
        <is>
          <t>CIV20</t>
        </is>
      </c>
      <c r="F381" t="inlineStr">
        <is>
          <t>Oumar Diakite - Ivory Coast</t>
        </is>
      </c>
      <c r="G381" t="inlineStr">
        <is>
          <t>Base</t>
        </is>
      </c>
      <c r="I381" t="n">
        <v>0</v>
      </c>
    </row>
    <row r="382" ht="20" customHeight="1">
      <c r="A382" t="inlineStr">
        <is>
          <t>Grupo E</t>
        </is>
      </c>
      <c r="B382" t="inlineStr">
        <is>
          <t>ECU</t>
        </is>
      </c>
      <c r="C382" t="inlineStr">
        <is>
          <t>Ecuador</t>
        </is>
      </c>
      <c r="D382" t="n">
        <v>1</v>
      </c>
      <c r="E382" t="inlineStr">
        <is>
          <t>ECU1</t>
        </is>
      </c>
      <c r="F382" t="inlineStr">
        <is>
          <t>Team Logo - Ecuador FOIL</t>
        </is>
      </c>
      <c r="G382" t="inlineStr">
        <is>
          <t>FOIL</t>
        </is>
      </c>
      <c r="I382" t="n">
        <v>0</v>
      </c>
    </row>
    <row r="383" ht="20" customHeight="1">
      <c r="A383" t="inlineStr">
        <is>
          <t>Grupo E</t>
        </is>
      </c>
      <c r="B383" t="inlineStr">
        <is>
          <t>ECU</t>
        </is>
      </c>
      <c r="C383" t="inlineStr">
        <is>
          <t>Ecuador</t>
        </is>
      </c>
      <c r="D383" t="n">
        <v>2</v>
      </c>
      <c r="E383" t="inlineStr">
        <is>
          <t>ECU2</t>
        </is>
      </c>
      <c r="F383" t="inlineStr">
        <is>
          <t>Hernán Galíndez - Ecuador</t>
        </is>
      </c>
      <c r="G383" t="inlineStr">
        <is>
          <t>Base</t>
        </is>
      </c>
      <c r="I383" t="n">
        <v>0</v>
      </c>
    </row>
    <row r="384" ht="20" customHeight="1">
      <c r="A384" t="inlineStr">
        <is>
          <t>Grupo E</t>
        </is>
      </c>
      <c r="B384" t="inlineStr">
        <is>
          <t>ECU</t>
        </is>
      </c>
      <c r="C384" t="inlineStr">
        <is>
          <t>Ecuador</t>
        </is>
      </c>
      <c r="D384" t="n">
        <v>3</v>
      </c>
      <c r="E384" t="inlineStr">
        <is>
          <t>ECU3</t>
        </is>
      </c>
      <c r="F384" t="inlineStr">
        <is>
          <t>Gonzalo Valle - Ecuador</t>
        </is>
      </c>
      <c r="G384" t="inlineStr">
        <is>
          <t>Base</t>
        </is>
      </c>
      <c r="I384" t="n">
        <v>0</v>
      </c>
    </row>
    <row r="385" ht="20" customHeight="1">
      <c r="A385" t="inlineStr">
        <is>
          <t>Grupo E</t>
        </is>
      </c>
      <c r="B385" t="inlineStr">
        <is>
          <t>ECU</t>
        </is>
      </c>
      <c r="C385" t="inlineStr">
        <is>
          <t>Ecuador</t>
        </is>
      </c>
      <c r="D385" t="n">
        <v>4</v>
      </c>
      <c r="E385" t="inlineStr">
        <is>
          <t>ECU4</t>
        </is>
      </c>
      <c r="F385" t="inlineStr">
        <is>
          <t>Piero Hincapié - Ecuador</t>
        </is>
      </c>
      <c r="G385" t="inlineStr">
        <is>
          <t>Base</t>
        </is>
      </c>
      <c r="I385" t="n">
        <v>0</v>
      </c>
    </row>
    <row r="386" ht="20" customHeight="1">
      <c r="A386" t="inlineStr">
        <is>
          <t>Grupo E</t>
        </is>
      </c>
      <c r="B386" t="inlineStr">
        <is>
          <t>ECU</t>
        </is>
      </c>
      <c r="C386" t="inlineStr">
        <is>
          <t>Ecuador</t>
        </is>
      </c>
      <c r="D386" t="n">
        <v>5</v>
      </c>
      <c r="E386" t="inlineStr">
        <is>
          <t>ECU5</t>
        </is>
      </c>
      <c r="F386" t="inlineStr">
        <is>
          <t>Pervis Estupiñán - Ecuador</t>
        </is>
      </c>
      <c r="G386" t="inlineStr">
        <is>
          <t>Base</t>
        </is>
      </c>
      <c r="I386" t="n">
        <v>0</v>
      </c>
    </row>
    <row r="387" ht="20" customHeight="1">
      <c r="A387" t="inlineStr">
        <is>
          <t>Grupo E</t>
        </is>
      </c>
      <c r="B387" t="inlineStr">
        <is>
          <t>ECU</t>
        </is>
      </c>
      <c r="C387" t="inlineStr">
        <is>
          <t>Ecuador</t>
        </is>
      </c>
      <c r="D387" t="n">
        <v>6</v>
      </c>
      <c r="E387" t="inlineStr">
        <is>
          <t>ECU6</t>
        </is>
      </c>
      <c r="F387" t="inlineStr">
        <is>
          <t>Willian Pacho - Ecuador</t>
        </is>
      </c>
      <c r="G387" t="inlineStr">
        <is>
          <t>Base</t>
        </is>
      </c>
      <c r="I387" t="n">
        <v>0</v>
      </c>
    </row>
    <row r="388" ht="20" customHeight="1">
      <c r="A388" t="inlineStr">
        <is>
          <t>Grupo E</t>
        </is>
      </c>
      <c r="B388" t="inlineStr">
        <is>
          <t>ECU</t>
        </is>
      </c>
      <c r="C388" t="inlineStr">
        <is>
          <t>Ecuador</t>
        </is>
      </c>
      <c r="D388" t="n">
        <v>7</v>
      </c>
      <c r="E388" t="inlineStr">
        <is>
          <t>ECU7</t>
        </is>
      </c>
      <c r="F388" t="inlineStr">
        <is>
          <t>Ángelo Preciado - Ecuador</t>
        </is>
      </c>
      <c r="G388" t="inlineStr">
        <is>
          <t>Base</t>
        </is>
      </c>
      <c r="I388" t="n">
        <v>0</v>
      </c>
    </row>
    <row r="389" ht="20" customHeight="1">
      <c r="A389" t="inlineStr">
        <is>
          <t>Grupo E</t>
        </is>
      </c>
      <c r="B389" t="inlineStr">
        <is>
          <t>ECU</t>
        </is>
      </c>
      <c r="C389" t="inlineStr">
        <is>
          <t>Ecuador</t>
        </is>
      </c>
      <c r="D389" t="n">
        <v>8</v>
      </c>
      <c r="E389" t="inlineStr">
        <is>
          <t>ECU8</t>
        </is>
      </c>
      <c r="F389" t="inlineStr">
        <is>
          <t>Joel Ordóñez - Ecuador</t>
        </is>
      </c>
      <c r="G389" t="inlineStr">
        <is>
          <t>Base</t>
        </is>
      </c>
      <c r="I389" t="n">
        <v>0</v>
      </c>
    </row>
    <row r="390" ht="20" customHeight="1">
      <c r="A390" t="inlineStr">
        <is>
          <t>Grupo E</t>
        </is>
      </c>
      <c r="B390" t="inlineStr">
        <is>
          <t>ECU</t>
        </is>
      </c>
      <c r="C390" t="inlineStr">
        <is>
          <t>Ecuador</t>
        </is>
      </c>
      <c r="D390" t="n">
        <v>9</v>
      </c>
      <c r="E390" t="inlineStr">
        <is>
          <t>ECU9</t>
        </is>
      </c>
      <c r="F390" t="inlineStr">
        <is>
          <t>Moises Caicedo - Ecuador</t>
        </is>
      </c>
      <c r="G390" t="inlineStr">
        <is>
          <t>Base</t>
        </is>
      </c>
      <c r="I390" t="n">
        <v>0</v>
      </c>
    </row>
    <row r="391" ht="20" customHeight="1">
      <c r="A391" t="inlineStr">
        <is>
          <t>Grupo E</t>
        </is>
      </c>
      <c r="B391" t="inlineStr">
        <is>
          <t>ECU</t>
        </is>
      </c>
      <c r="C391" t="inlineStr">
        <is>
          <t>Ecuador</t>
        </is>
      </c>
      <c r="D391" t="n">
        <v>10</v>
      </c>
      <c r="E391" t="inlineStr">
        <is>
          <t>ECU10</t>
        </is>
      </c>
      <c r="F391" t="inlineStr">
        <is>
          <t>Alan Franco - Ecuador</t>
        </is>
      </c>
      <c r="G391" t="inlineStr">
        <is>
          <t>Base</t>
        </is>
      </c>
      <c r="I391" t="n">
        <v>0</v>
      </c>
    </row>
    <row r="392" ht="20" customHeight="1">
      <c r="A392" t="inlineStr">
        <is>
          <t>Grupo E</t>
        </is>
      </c>
      <c r="B392" t="inlineStr">
        <is>
          <t>ECU</t>
        </is>
      </c>
      <c r="C392" t="inlineStr">
        <is>
          <t>Ecuador</t>
        </is>
      </c>
      <c r="D392" t="n">
        <v>11</v>
      </c>
      <c r="E392" t="inlineStr">
        <is>
          <t>ECU11</t>
        </is>
      </c>
      <c r="F392" t="inlineStr">
        <is>
          <t>Kendry Paez - Ecuador</t>
        </is>
      </c>
      <c r="G392" t="inlineStr">
        <is>
          <t>Base</t>
        </is>
      </c>
      <c r="I392" t="n">
        <v>0</v>
      </c>
    </row>
    <row r="393" ht="20" customHeight="1">
      <c r="A393" t="inlineStr">
        <is>
          <t>Grupo E</t>
        </is>
      </c>
      <c r="B393" t="inlineStr">
        <is>
          <t>ECU</t>
        </is>
      </c>
      <c r="C393" t="inlineStr">
        <is>
          <t>Ecuador</t>
        </is>
      </c>
      <c r="D393" t="n">
        <v>12</v>
      </c>
      <c r="E393" t="inlineStr">
        <is>
          <t>ECU12</t>
        </is>
      </c>
      <c r="F393" t="inlineStr">
        <is>
          <t>Pedro Vite - Ecuador</t>
        </is>
      </c>
      <c r="G393" t="inlineStr">
        <is>
          <t>Base</t>
        </is>
      </c>
      <c r="I393" t="n">
        <v>0</v>
      </c>
    </row>
    <row r="394" ht="20" customHeight="1">
      <c r="A394" t="inlineStr">
        <is>
          <t>Grupo E</t>
        </is>
      </c>
      <c r="B394" t="inlineStr">
        <is>
          <t>ECU</t>
        </is>
      </c>
      <c r="C394" t="inlineStr">
        <is>
          <t>Ecuador</t>
        </is>
      </c>
      <c r="D394" t="n">
        <v>13</v>
      </c>
      <c r="E394" t="inlineStr">
        <is>
          <t>ECU13</t>
        </is>
      </c>
      <c r="F394" t="inlineStr">
        <is>
          <t>Team Photo - Ecuador</t>
        </is>
      </c>
      <c r="G394" t="inlineStr">
        <is>
          <t>Base</t>
        </is>
      </c>
      <c r="I394" t="n">
        <v>0</v>
      </c>
    </row>
    <row r="395" ht="20" customHeight="1">
      <c r="A395" t="inlineStr">
        <is>
          <t>Grupo E</t>
        </is>
      </c>
      <c r="B395" t="inlineStr">
        <is>
          <t>ECU</t>
        </is>
      </c>
      <c r="C395" t="inlineStr">
        <is>
          <t>Ecuador</t>
        </is>
      </c>
      <c r="D395" t="n">
        <v>14</v>
      </c>
      <c r="E395" t="inlineStr">
        <is>
          <t>ECU14</t>
        </is>
      </c>
      <c r="F395" t="inlineStr">
        <is>
          <t>John Veboah - Ecuador</t>
        </is>
      </c>
      <c r="G395" t="inlineStr">
        <is>
          <t>Base</t>
        </is>
      </c>
      <c r="I395" t="n">
        <v>0</v>
      </c>
    </row>
    <row r="396" ht="20" customHeight="1">
      <c r="A396" t="inlineStr">
        <is>
          <t>Grupo E</t>
        </is>
      </c>
      <c r="B396" t="inlineStr">
        <is>
          <t>ECU</t>
        </is>
      </c>
      <c r="C396" t="inlineStr">
        <is>
          <t>Ecuador</t>
        </is>
      </c>
      <c r="D396" t="n">
        <v>15</v>
      </c>
      <c r="E396" t="inlineStr">
        <is>
          <t>ECU15</t>
        </is>
      </c>
      <c r="F396" t="inlineStr">
        <is>
          <t>Leonardo Campana - Ecuador</t>
        </is>
      </c>
      <c r="G396" t="inlineStr">
        <is>
          <t>Base</t>
        </is>
      </c>
      <c r="I396" t="n">
        <v>0</v>
      </c>
    </row>
    <row r="397" ht="20" customHeight="1">
      <c r="A397" t="inlineStr">
        <is>
          <t>Grupo E</t>
        </is>
      </c>
      <c r="B397" t="inlineStr">
        <is>
          <t>ECU</t>
        </is>
      </c>
      <c r="C397" t="inlineStr">
        <is>
          <t>Ecuador</t>
        </is>
      </c>
      <c r="D397" t="n">
        <v>16</v>
      </c>
      <c r="E397" t="inlineStr">
        <is>
          <t>ECU16</t>
        </is>
      </c>
      <c r="F397" t="inlineStr">
        <is>
          <t>Gonzalo Plata - Ecuador</t>
        </is>
      </c>
      <c r="G397" t="inlineStr">
        <is>
          <t>Base</t>
        </is>
      </c>
      <c r="I397" t="n">
        <v>0</v>
      </c>
    </row>
    <row r="398" ht="20" customHeight="1">
      <c r="A398" t="inlineStr">
        <is>
          <t>Grupo E</t>
        </is>
      </c>
      <c r="B398" t="inlineStr">
        <is>
          <t>ECU</t>
        </is>
      </c>
      <c r="C398" t="inlineStr">
        <is>
          <t>Ecuador</t>
        </is>
      </c>
      <c r="D398" t="n">
        <v>17</v>
      </c>
      <c r="E398" t="inlineStr">
        <is>
          <t>ECU17</t>
        </is>
      </c>
      <c r="F398" t="inlineStr">
        <is>
          <t>Nilson Angulo - Ecuador</t>
        </is>
      </c>
      <c r="G398" t="inlineStr">
        <is>
          <t>Base</t>
        </is>
      </c>
      <c r="I398" t="n">
        <v>0</v>
      </c>
    </row>
    <row r="399" ht="20" customHeight="1">
      <c r="A399" t="inlineStr">
        <is>
          <t>Grupo E</t>
        </is>
      </c>
      <c r="B399" t="inlineStr">
        <is>
          <t>ECU</t>
        </is>
      </c>
      <c r="C399" t="inlineStr">
        <is>
          <t>Ecuador</t>
        </is>
      </c>
      <c r="D399" t="n">
        <v>18</v>
      </c>
      <c r="E399" t="inlineStr">
        <is>
          <t>ECU18</t>
        </is>
      </c>
      <c r="F399" t="inlineStr">
        <is>
          <t>Alan Minda - Ecuador</t>
        </is>
      </c>
      <c r="G399" t="inlineStr">
        <is>
          <t>Base</t>
        </is>
      </c>
      <c r="I399" t="n">
        <v>0</v>
      </c>
    </row>
    <row r="400" ht="20" customHeight="1">
      <c r="A400" t="inlineStr">
        <is>
          <t>Grupo E</t>
        </is>
      </c>
      <c r="B400" t="inlineStr">
        <is>
          <t>ECU</t>
        </is>
      </c>
      <c r="C400" t="inlineStr">
        <is>
          <t>Ecuador</t>
        </is>
      </c>
      <c r="D400" t="n">
        <v>19</v>
      </c>
      <c r="E400" t="inlineStr">
        <is>
          <t>ECU19</t>
        </is>
      </c>
      <c r="F400" t="inlineStr">
        <is>
          <t>Kevin Rodriguez - Ecuador</t>
        </is>
      </c>
      <c r="G400" t="inlineStr">
        <is>
          <t>Base</t>
        </is>
      </c>
      <c r="I400" t="n">
        <v>0</v>
      </c>
    </row>
    <row r="401" ht="20" customHeight="1">
      <c r="A401" t="inlineStr">
        <is>
          <t>Grupo E</t>
        </is>
      </c>
      <c r="B401" t="inlineStr">
        <is>
          <t>ECU</t>
        </is>
      </c>
      <c r="C401" t="inlineStr">
        <is>
          <t>Ecuador</t>
        </is>
      </c>
      <c r="D401" t="n">
        <v>20</v>
      </c>
      <c r="E401" t="inlineStr">
        <is>
          <t>ECU20</t>
        </is>
      </c>
      <c r="F401" t="inlineStr">
        <is>
          <t>Enner Valencia - Ecuador</t>
        </is>
      </c>
      <c r="G401" t="inlineStr">
        <is>
          <t>Base</t>
        </is>
      </c>
      <c r="I401" t="n">
        <v>0</v>
      </c>
    </row>
    <row r="402" ht="20" customHeight="1">
      <c r="A402" t="inlineStr">
        <is>
          <t>Grupo F</t>
        </is>
      </c>
      <c r="B402" t="inlineStr">
        <is>
          <t>NED</t>
        </is>
      </c>
      <c r="C402" t="inlineStr">
        <is>
          <t>Netherlands</t>
        </is>
      </c>
      <c r="D402" t="n">
        <v>1</v>
      </c>
      <c r="E402" t="inlineStr">
        <is>
          <t>NED1</t>
        </is>
      </c>
      <c r="F402" t="inlineStr">
        <is>
          <t>Team Logo - Netherlands FOIL</t>
        </is>
      </c>
      <c r="G402" t="inlineStr">
        <is>
          <t>FOIL</t>
        </is>
      </c>
      <c r="I402" t="n">
        <v>0</v>
      </c>
    </row>
    <row r="403" ht="20" customHeight="1">
      <c r="A403" t="inlineStr">
        <is>
          <t>Grupo F</t>
        </is>
      </c>
      <c r="B403" t="inlineStr">
        <is>
          <t>NED</t>
        </is>
      </c>
      <c r="C403" t="inlineStr">
        <is>
          <t>Netherlands</t>
        </is>
      </c>
      <c r="D403" t="n">
        <v>2</v>
      </c>
      <c r="E403" t="inlineStr">
        <is>
          <t>NED2</t>
        </is>
      </c>
      <c r="F403" t="inlineStr">
        <is>
          <t>Bart Verbruggen - Netherlands</t>
        </is>
      </c>
      <c r="G403" t="inlineStr">
        <is>
          <t>Base</t>
        </is>
      </c>
      <c r="I403" t="n">
        <v>0</v>
      </c>
    </row>
    <row r="404" ht="20" customHeight="1">
      <c r="A404" t="inlineStr">
        <is>
          <t>Grupo F</t>
        </is>
      </c>
      <c r="B404" t="inlineStr">
        <is>
          <t>NED</t>
        </is>
      </c>
      <c r="C404" t="inlineStr">
        <is>
          <t>Netherlands</t>
        </is>
      </c>
      <c r="D404" t="n">
        <v>3</v>
      </c>
      <c r="E404" t="inlineStr">
        <is>
          <t>NED3</t>
        </is>
      </c>
      <c r="F404" t="inlineStr">
        <is>
          <t>Virgil van Dijk - Netherlands</t>
        </is>
      </c>
      <c r="G404" t="inlineStr">
        <is>
          <t>Base</t>
        </is>
      </c>
      <c r="I404" t="n">
        <v>0</v>
      </c>
    </row>
    <row r="405" ht="20" customHeight="1">
      <c r="A405" t="inlineStr">
        <is>
          <t>Grupo F</t>
        </is>
      </c>
      <c r="B405" t="inlineStr">
        <is>
          <t>NED</t>
        </is>
      </c>
      <c r="C405" t="inlineStr">
        <is>
          <t>Netherlands</t>
        </is>
      </c>
      <c r="D405" t="n">
        <v>4</v>
      </c>
      <c r="E405" t="inlineStr">
        <is>
          <t>NED4</t>
        </is>
      </c>
      <c r="F405" t="inlineStr">
        <is>
          <t>Micky van de Ven - Netherlands</t>
        </is>
      </c>
      <c r="G405" t="inlineStr">
        <is>
          <t>Base</t>
        </is>
      </c>
      <c r="I405" t="n">
        <v>0</v>
      </c>
    </row>
    <row r="406" ht="20" customHeight="1">
      <c r="A406" t="inlineStr">
        <is>
          <t>Grupo F</t>
        </is>
      </c>
      <c r="B406" t="inlineStr">
        <is>
          <t>NED</t>
        </is>
      </c>
      <c r="C406" t="inlineStr">
        <is>
          <t>Netherlands</t>
        </is>
      </c>
      <c r="D406" t="n">
        <v>5</v>
      </c>
      <c r="E406" t="inlineStr">
        <is>
          <t>NED5</t>
        </is>
      </c>
      <c r="F406" t="inlineStr">
        <is>
          <t>Jurrien Timber - Netherlands</t>
        </is>
      </c>
      <c r="G406" t="inlineStr">
        <is>
          <t>Base</t>
        </is>
      </c>
      <c r="I406" t="n">
        <v>0</v>
      </c>
    </row>
    <row r="407" ht="20" customHeight="1">
      <c r="A407" t="inlineStr">
        <is>
          <t>Grupo F</t>
        </is>
      </c>
      <c r="B407" t="inlineStr">
        <is>
          <t>NED</t>
        </is>
      </c>
      <c r="C407" t="inlineStr">
        <is>
          <t>Netherlands</t>
        </is>
      </c>
      <c r="D407" t="n">
        <v>6</v>
      </c>
      <c r="E407" t="inlineStr">
        <is>
          <t>NED6</t>
        </is>
      </c>
      <c r="F407" t="inlineStr">
        <is>
          <t>Denzel Dumfries - Netherlands</t>
        </is>
      </c>
      <c r="G407" t="inlineStr">
        <is>
          <t>Base</t>
        </is>
      </c>
      <c r="I407" t="n">
        <v>0</v>
      </c>
    </row>
    <row r="408" ht="20" customHeight="1">
      <c r="A408" t="inlineStr">
        <is>
          <t>Grupo F</t>
        </is>
      </c>
      <c r="B408" t="inlineStr">
        <is>
          <t>NED</t>
        </is>
      </c>
      <c r="C408" t="inlineStr">
        <is>
          <t>Netherlands</t>
        </is>
      </c>
      <c r="D408" t="n">
        <v>7</v>
      </c>
      <c r="E408" t="inlineStr">
        <is>
          <t>NED7</t>
        </is>
      </c>
      <c r="F408" t="inlineStr">
        <is>
          <t>Nathan Aké - Netherlands</t>
        </is>
      </c>
      <c r="G408" t="inlineStr">
        <is>
          <t>Base</t>
        </is>
      </c>
      <c r="I408" t="n">
        <v>0</v>
      </c>
    </row>
    <row r="409" ht="20" customHeight="1">
      <c r="A409" t="inlineStr">
        <is>
          <t>Grupo F</t>
        </is>
      </c>
      <c r="B409" t="inlineStr">
        <is>
          <t>NED</t>
        </is>
      </c>
      <c r="C409" t="inlineStr">
        <is>
          <t>Netherlands</t>
        </is>
      </c>
      <c r="D409" t="n">
        <v>8</v>
      </c>
      <c r="E409" t="inlineStr">
        <is>
          <t>NED8</t>
        </is>
      </c>
      <c r="F409" t="inlineStr">
        <is>
          <t>Jeremie Frimpong - Netherlands</t>
        </is>
      </c>
      <c r="G409" t="inlineStr">
        <is>
          <t>Base</t>
        </is>
      </c>
      <c r="I409" t="n">
        <v>0</v>
      </c>
    </row>
    <row r="410" ht="20" customHeight="1">
      <c r="A410" t="inlineStr">
        <is>
          <t>Grupo F</t>
        </is>
      </c>
      <c r="B410" t="inlineStr">
        <is>
          <t>NED</t>
        </is>
      </c>
      <c r="C410" t="inlineStr">
        <is>
          <t>Netherlands</t>
        </is>
      </c>
      <c r="D410" t="n">
        <v>9</v>
      </c>
      <c r="E410" t="inlineStr">
        <is>
          <t>NED9</t>
        </is>
      </c>
      <c r="F410" t="inlineStr">
        <is>
          <t>Jan Paul van Hecke - Netherlands</t>
        </is>
      </c>
      <c r="G410" t="inlineStr">
        <is>
          <t>Base</t>
        </is>
      </c>
      <c r="I410" t="n">
        <v>0</v>
      </c>
    </row>
    <row r="411" ht="20" customHeight="1">
      <c r="A411" t="inlineStr">
        <is>
          <t>Grupo F</t>
        </is>
      </c>
      <c r="B411" t="inlineStr">
        <is>
          <t>NED</t>
        </is>
      </c>
      <c r="C411" t="inlineStr">
        <is>
          <t>Netherlands</t>
        </is>
      </c>
      <c r="D411" t="n">
        <v>10</v>
      </c>
      <c r="E411" t="inlineStr">
        <is>
          <t>NED10</t>
        </is>
      </c>
      <c r="F411" t="inlineStr">
        <is>
          <t>Tijjani Reijnders - Netherlands</t>
        </is>
      </c>
      <c r="G411" t="inlineStr">
        <is>
          <t>Base</t>
        </is>
      </c>
      <c r="I411" t="n">
        <v>0</v>
      </c>
    </row>
    <row r="412" ht="20" customHeight="1">
      <c r="A412" t="inlineStr">
        <is>
          <t>Grupo F</t>
        </is>
      </c>
      <c r="B412" t="inlineStr">
        <is>
          <t>NED</t>
        </is>
      </c>
      <c r="C412" t="inlineStr">
        <is>
          <t>Netherlands</t>
        </is>
      </c>
      <c r="D412" t="n">
        <v>11</v>
      </c>
      <c r="E412" t="inlineStr">
        <is>
          <t>NED11</t>
        </is>
      </c>
      <c r="F412" t="inlineStr">
        <is>
          <t>Ryan Gravenberch - Netherlands</t>
        </is>
      </c>
      <c r="G412" t="inlineStr">
        <is>
          <t>Base</t>
        </is>
      </c>
      <c r="I412" t="n">
        <v>0</v>
      </c>
    </row>
    <row r="413" ht="20" customHeight="1">
      <c r="A413" t="inlineStr">
        <is>
          <t>Grupo F</t>
        </is>
      </c>
      <c r="B413" t="inlineStr">
        <is>
          <t>NED</t>
        </is>
      </c>
      <c r="C413" t="inlineStr">
        <is>
          <t>Netherlands</t>
        </is>
      </c>
      <c r="D413" t="n">
        <v>12</v>
      </c>
      <c r="E413" t="inlineStr">
        <is>
          <t>NED12</t>
        </is>
      </c>
      <c r="F413" t="inlineStr">
        <is>
          <t>Teun Koopmeiners - Netherlands</t>
        </is>
      </c>
      <c r="G413" t="inlineStr">
        <is>
          <t>Base</t>
        </is>
      </c>
      <c r="I413" t="n">
        <v>0</v>
      </c>
    </row>
    <row r="414" ht="20" customHeight="1">
      <c r="A414" t="inlineStr">
        <is>
          <t>Grupo F</t>
        </is>
      </c>
      <c r="B414" t="inlineStr">
        <is>
          <t>NED</t>
        </is>
      </c>
      <c r="C414" t="inlineStr">
        <is>
          <t>Netherlands</t>
        </is>
      </c>
      <c r="D414" t="n">
        <v>13</v>
      </c>
      <c r="E414" t="inlineStr">
        <is>
          <t>NED13</t>
        </is>
      </c>
      <c r="F414" t="inlineStr">
        <is>
          <t>Team Photo - Netherlands</t>
        </is>
      </c>
      <c r="G414" t="inlineStr">
        <is>
          <t>Base</t>
        </is>
      </c>
      <c r="I414" t="n">
        <v>0</v>
      </c>
    </row>
    <row r="415" ht="20" customHeight="1">
      <c r="A415" t="inlineStr">
        <is>
          <t>Grupo F</t>
        </is>
      </c>
      <c r="B415" t="inlineStr">
        <is>
          <t>NED</t>
        </is>
      </c>
      <c r="C415" t="inlineStr">
        <is>
          <t>Netherlands</t>
        </is>
      </c>
      <c r="D415" t="n">
        <v>14</v>
      </c>
      <c r="E415" t="inlineStr">
        <is>
          <t>NED14</t>
        </is>
      </c>
      <c r="F415" t="inlineStr">
        <is>
          <t>Frenkie de Jong - Netherlands</t>
        </is>
      </c>
      <c r="G415" t="inlineStr">
        <is>
          <t>Base</t>
        </is>
      </c>
      <c r="I415" t="n">
        <v>0</v>
      </c>
    </row>
    <row r="416" ht="20" customHeight="1">
      <c r="A416" t="inlineStr">
        <is>
          <t>Grupo F</t>
        </is>
      </c>
      <c r="B416" t="inlineStr">
        <is>
          <t>NED</t>
        </is>
      </c>
      <c r="C416" t="inlineStr">
        <is>
          <t>Netherlands</t>
        </is>
      </c>
      <c r="D416" t="n">
        <v>15</v>
      </c>
      <c r="E416" t="inlineStr">
        <is>
          <t>NED15</t>
        </is>
      </c>
      <c r="F416" t="inlineStr">
        <is>
          <t>Xavi Simons - Netherlands</t>
        </is>
      </c>
      <c r="G416" t="inlineStr">
        <is>
          <t>Base</t>
        </is>
      </c>
      <c r="I416" t="n">
        <v>0</v>
      </c>
    </row>
    <row r="417" ht="20" customHeight="1">
      <c r="A417" t="inlineStr">
        <is>
          <t>Grupo F</t>
        </is>
      </c>
      <c r="B417" t="inlineStr">
        <is>
          <t>NED</t>
        </is>
      </c>
      <c r="C417" t="inlineStr">
        <is>
          <t>Netherlands</t>
        </is>
      </c>
      <c r="D417" t="n">
        <v>16</v>
      </c>
      <c r="E417" t="inlineStr">
        <is>
          <t>NED16</t>
        </is>
      </c>
      <c r="F417" t="inlineStr">
        <is>
          <t>Justin Kluivert - Netherlands</t>
        </is>
      </c>
      <c r="G417" t="inlineStr">
        <is>
          <t>Base</t>
        </is>
      </c>
      <c r="I417" t="n">
        <v>0</v>
      </c>
    </row>
    <row r="418" ht="20" customHeight="1">
      <c r="A418" t="inlineStr">
        <is>
          <t>Grupo F</t>
        </is>
      </c>
      <c r="B418" t="inlineStr">
        <is>
          <t>NED</t>
        </is>
      </c>
      <c r="C418" t="inlineStr">
        <is>
          <t>Netherlands</t>
        </is>
      </c>
      <c r="D418" t="n">
        <v>17</v>
      </c>
      <c r="E418" t="inlineStr">
        <is>
          <t>NED17</t>
        </is>
      </c>
      <c r="F418" t="inlineStr">
        <is>
          <t>Memphis Depay - Netherlands</t>
        </is>
      </c>
      <c r="G418" t="inlineStr">
        <is>
          <t>Base</t>
        </is>
      </c>
      <c r="I418" t="n">
        <v>0</v>
      </c>
    </row>
    <row r="419" ht="20" customHeight="1">
      <c r="A419" t="inlineStr">
        <is>
          <t>Grupo F</t>
        </is>
      </c>
      <c r="B419" t="inlineStr">
        <is>
          <t>NED</t>
        </is>
      </c>
      <c r="C419" t="inlineStr">
        <is>
          <t>Netherlands</t>
        </is>
      </c>
      <c r="D419" t="n">
        <v>18</v>
      </c>
      <c r="E419" t="inlineStr">
        <is>
          <t>NED18</t>
        </is>
      </c>
      <c r="F419" t="inlineStr">
        <is>
          <t>Donyell Malen - Netherlands</t>
        </is>
      </c>
      <c r="G419" t="inlineStr">
        <is>
          <t>Base</t>
        </is>
      </c>
      <c r="I419" t="n">
        <v>0</v>
      </c>
    </row>
    <row r="420" ht="20" customHeight="1">
      <c r="A420" t="inlineStr">
        <is>
          <t>Grupo F</t>
        </is>
      </c>
      <c r="B420" t="inlineStr">
        <is>
          <t>NED</t>
        </is>
      </c>
      <c r="C420" t="inlineStr">
        <is>
          <t>Netherlands</t>
        </is>
      </c>
      <c r="D420" t="n">
        <v>19</v>
      </c>
      <c r="E420" t="inlineStr">
        <is>
          <t>NED19</t>
        </is>
      </c>
      <c r="F420" t="inlineStr">
        <is>
          <t>Wout Weghorst - Netherlands</t>
        </is>
      </c>
      <c r="G420" t="inlineStr">
        <is>
          <t>Base</t>
        </is>
      </c>
      <c r="I420" t="n">
        <v>0</v>
      </c>
    </row>
    <row r="421" ht="20" customHeight="1">
      <c r="A421" t="inlineStr">
        <is>
          <t>Grupo F</t>
        </is>
      </c>
      <c r="B421" t="inlineStr">
        <is>
          <t>NED</t>
        </is>
      </c>
      <c r="C421" t="inlineStr">
        <is>
          <t>Netherlands</t>
        </is>
      </c>
      <c r="D421" t="n">
        <v>20</v>
      </c>
      <c r="E421" t="inlineStr">
        <is>
          <t>NED20</t>
        </is>
      </c>
      <c r="F421" t="inlineStr">
        <is>
          <t>Cody Gakpo - Netherlands</t>
        </is>
      </c>
      <c r="G421" t="inlineStr">
        <is>
          <t>Base</t>
        </is>
      </c>
      <c r="I421" t="n">
        <v>0</v>
      </c>
    </row>
    <row r="422" ht="20" customHeight="1">
      <c r="A422" t="inlineStr">
        <is>
          <t>Grupo F</t>
        </is>
      </c>
      <c r="B422" t="inlineStr">
        <is>
          <t>JPN</t>
        </is>
      </c>
      <c r="C422" t="inlineStr">
        <is>
          <t>Japan</t>
        </is>
      </c>
      <c r="D422" t="n">
        <v>1</v>
      </c>
      <c r="E422" t="inlineStr">
        <is>
          <t>JPN1</t>
        </is>
      </c>
      <c r="F422" t="inlineStr">
        <is>
          <t>Team Logo - Japan FOIL</t>
        </is>
      </c>
      <c r="G422" t="inlineStr">
        <is>
          <t>FOIL</t>
        </is>
      </c>
      <c r="I422" t="n">
        <v>0</v>
      </c>
    </row>
    <row r="423" ht="20" customHeight="1">
      <c r="A423" t="inlineStr">
        <is>
          <t>Grupo F</t>
        </is>
      </c>
      <c r="B423" t="inlineStr">
        <is>
          <t>JPN</t>
        </is>
      </c>
      <c r="C423" t="inlineStr">
        <is>
          <t>Japan</t>
        </is>
      </c>
      <c r="D423" t="n">
        <v>2</v>
      </c>
      <c r="E423" t="inlineStr">
        <is>
          <t>JPN2</t>
        </is>
      </c>
      <c r="F423" t="inlineStr">
        <is>
          <t>Zion Suzuki - Japan</t>
        </is>
      </c>
      <c r="G423" t="inlineStr">
        <is>
          <t>Base</t>
        </is>
      </c>
      <c r="I423" t="n">
        <v>0</v>
      </c>
    </row>
    <row r="424" ht="20" customHeight="1">
      <c r="A424" t="inlineStr">
        <is>
          <t>Grupo F</t>
        </is>
      </c>
      <c r="B424" t="inlineStr">
        <is>
          <t>JPN</t>
        </is>
      </c>
      <c r="C424" t="inlineStr">
        <is>
          <t>Japan</t>
        </is>
      </c>
      <c r="D424" t="n">
        <v>3</v>
      </c>
      <c r="E424" t="inlineStr">
        <is>
          <t>JPN3</t>
        </is>
      </c>
      <c r="F424" t="inlineStr">
        <is>
          <t>Henry Heroki Mochizuki - Japan</t>
        </is>
      </c>
      <c r="G424" t="inlineStr">
        <is>
          <t>Base</t>
        </is>
      </c>
      <c r="I424" t="n">
        <v>0</v>
      </c>
    </row>
    <row r="425" ht="20" customHeight="1">
      <c r="A425" t="inlineStr">
        <is>
          <t>Grupo F</t>
        </is>
      </c>
      <c r="B425" t="inlineStr">
        <is>
          <t>JPN</t>
        </is>
      </c>
      <c r="C425" t="inlineStr">
        <is>
          <t>Japan</t>
        </is>
      </c>
      <c r="D425" t="n">
        <v>4</v>
      </c>
      <c r="E425" t="inlineStr">
        <is>
          <t>JPN4</t>
        </is>
      </c>
      <c r="F425" t="inlineStr">
        <is>
          <t>Ayumu Seko - Japan</t>
        </is>
      </c>
      <c r="G425" t="inlineStr">
        <is>
          <t>Base</t>
        </is>
      </c>
      <c r="I425" t="n">
        <v>0</v>
      </c>
    </row>
    <row r="426" ht="20" customHeight="1">
      <c r="A426" t="inlineStr">
        <is>
          <t>Grupo F</t>
        </is>
      </c>
      <c r="B426" t="inlineStr">
        <is>
          <t>JPN</t>
        </is>
      </c>
      <c r="C426" t="inlineStr">
        <is>
          <t>Japan</t>
        </is>
      </c>
      <c r="D426" t="n">
        <v>5</v>
      </c>
      <c r="E426" t="inlineStr">
        <is>
          <t>JPN5</t>
        </is>
      </c>
      <c r="F426" t="inlineStr">
        <is>
          <t>Junnosuke Suzuki - Japan</t>
        </is>
      </c>
      <c r="G426" t="inlineStr">
        <is>
          <t>Base</t>
        </is>
      </c>
      <c r="I426" t="n">
        <v>0</v>
      </c>
    </row>
    <row r="427" ht="20" customHeight="1">
      <c r="A427" t="inlineStr">
        <is>
          <t>Grupo F</t>
        </is>
      </c>
      <c r="B427" t="inlineStr">
        <is>
          <t>JPN</t>
        </is>
      </c>
      <c r="C427" t="inlineStr">
        <is>
          <t>Japan</t>
        </is>
      </c>
      <c r="D427" t="n">
        <v>6</v>
      </c>
      <c r="E427" t="inlineStr">
        <is>
          <t>JPN6</t>
        </is>
      </c>
      <c r="F427" t="inlineStr">
        <is>
          <t>Shogo Taniguchi - Japan</t>
        </is>
      </c>
      <c r="G427" t="inlineStr">
        <is>
          <t>Base</t>
        </is>
      </c>
      <c r="I427" t="n">
        <v>0</v>
      </c>
    </row>
    <row r="428" ht="20" customHeight="1">
      <c r="A428" t="inlineStr">
        <is>
          <t>Grupo F</t>
        </is>
      </c>
      <c r="B428" t="inlineStr">
        <is>
          <t>JPN</t>
        </is>
      </c>
      <c r="C428" t="inlineStr">
        <is>
          <t>Japan</t>
        </is>
      </c>
      <c r="D428" t="n">
        <v>7</v>
      </c>
      <c r="E428" t="inlineStr">
        <is>
          <t>JPN7</t>
        </is>
      </c>
      <c r="F428" t="inlineStr">
        <is>
          <t>Tsuyoshi Watanabe - Japan</t>
        </is>
      </c>
      <c r="G428" t="inlineStr">
        <is>
          <t>Base</t>
        </is>
      </c>
      <c r="I428" t="n">
        <v>0</v>
      </c>
    </row>
    <row r="429" ht="20" customHeight="1">
      <c r="A429" t="inlineStr">
        <is>
          <t>Grupo F</t>
        </is>
      </c>
      <c r="B429" t="inlineStr">
        <is>
          <t>JPN</t>
        </is>
      </c>
      <c r="C429" t="inlineStr">
        <is>
          <t>Japan</t>
        </is>
      </c>
      <c r="D429" t="n">
        <v>8</v>
      </c>
      <c r="E429" t="inlineStr">
        <is>
          <t>JPN8</t>
        </is>
      </c>
      <c r="F429" t="inlineStr">
        <is>
          <t>Kaishu Sano - Japan</t>
        </is>
      </c>
      <c r="G429" t="inlineStr">
        <is>
          <t>Base</t>
        </is>
      </c>
      <c r="I429" t="n">
        <v>0</v>
      </c>
    </row>
    <row r="430" ht="20" customHeight="1">
      <c r="A430" t="inlineStr">
        <is>
          <t>Grupo F</t>
        </is>
      </c>
      <c r="B430" t="inlineStr">
        <is>
          <t>JPN</t>
        </is>
      </c>
      <c r="C430" t="inlineStr">
        <is>
          <t>Japan</t>
        </is>
      </c>
      <c r="D430" t="n">
        <v>9</v>
      </c>
      <c r="E430" t="inlineStr">
        <is>
          <t>JPN9</t>
        </is>
      </c>
      <c r="F430" t="inlineStr">
        <is>
          <t>Yuki Soma - Japan</t>
        </is>
      </c>
      <c r="G430" t="inlineStr">
        <is>
          <t>Base</t>
        </is>
      </c>
      <c r="I430" t="n">
        <v>0</v>
      </c>
    </row>
    <row r="431" ht="20" customHeight="1">
      <c r="A431" t="inlineStr">
        <is>
          <t>Grupo F</t>
        </is>
      </c>
      <c r="B431" t="inlineStr">
        <is>
          <t>JPN</t>
        </is>
      </c>
      <c r="C431" t="inlineStr">
        <is>
          <t>Japan</t>
        </is>
      </c>
      <c r="D431" t="n">
        <v>10</v>
      </c>
      <c r="E431" t="inlineStr">
        <is>
          <t>JPN10</t>
        </is>
      </c>
      <c r="F431" t="inlineStr">
        <is>
          <t>Ao Tanaka - Japan</t>
        </is>
      </c>
      <c r="G431" t="inlineStr">
        <is>
          <t>Base</t>
        </is>
      </c>
      <c r="I431" t="n">
        <v>0</v>
      </c>
    </row>
    <row r="432" ht="20" customHeight="1">
      <c r="A432" t="inlineStr">
        <is>
          <t>Grupo F</t>
        </is>
      </c>
      <c r="B432" t="inlineStr">
        <is>
          <t>JPN</t>
        </is>
      </c>
      <c r="C432" t="inlineStr">
        <is>
          <t>Japan</t>
        </is>
      </c>
      <c r="D432" t="n">
        <v>11</v>
      </c>
      <c r="E432" t="inlineStr">
        <is>
          <t>JPN11</t>
        </is>
      </c>
      <c r="F432" t="inlineStr">
        <is>
          <t>Daichi Kamada - Japan</t>
        </is>
      </c>
      <c r="G432" t="inlineStr">
        <is>
          <t>Base</t>
        </is>
      </c>
      <c r="I432" t="n">
        <v>0</v>
      </c>
    </row>
    <row r="433" ht="20" customHeight="1">
      <c r="A433" t="inlineStr">
        <is>
          <t>Grupo F</t>
        </is>
      </c>
      <c r="B433" t="inlineStr">
        <is>
          <t>JPN</t>
        </is>
      </c>
      <c r="C433" t="inlineStr">
        <is>
          <t>Japan</t>
        </is>
      </c>
      <c r="D433" t="n">
        <v>12</v>
      </c>
      <c r="E433" t="inlineStr">
        <is>
          <t>JPN12</t>
        </is>
      </c>
      <c r="F433" t="inlineStr">
        <is>
          <t>Takefusa Kubo - Japan</t>
        </is>
      </c>
      <c r="G433" t="inlineStr">
        <is>
          <t>Base</t>
        </is>
      </c>
      <c r="I433" t="n">
        <v>0</v>
      </c>
    </row>
    <row r="434" ht="20" customHeight="1">
      <c r="A434" t="inlineStr">
        <is>
          <t>Grupo F</t>
        </is>
      </c>
      <c r="B434" t="inlineStr">
        <is>
          <t>JPN</t>
        </is>
      </c>
      <c r="C434" t="inlineStr">
        <is>
          <t>Japan</t>
        </is>
      </c>
      <c r="D434" t="n">
        <v>13</v>
      </c>
      <c r="E434" t="inlineStr">
        <is>
          <t>JPN13</t>
        </is>
      </c>
      <c r="F434" t="inlineStr">
        <is>
          <t>Team Photo - Japan</t>
        </is>
      </c>
      <c r="G434" t="inlineStr">
        <is>
          <t>Base</t>
        </is>
      </c>
      <c r="I434" t="n">
        <v>0</v>
      </c>
    </row>
    <row r="435" ht="20" customHeight="1">
      <c r="A435" t="inlineStr">
        <is>
          <t>Grupo F</t>
        </is>
      </c>
      <c r="B435" t="inlineStr">
        <is>
          <t>JPN</t>
        </is>
      </c>
      <c r="C435" t="inlineStr">
        <is>
          <t>Japan</t>
        </is>
      </c>
      <c r="D435" t="n">
        <v>14</v>
      </c>
      <c r="E435" t="inlineStr">
        <is>
          <t>JPN14</t>
        </is>
      </c>
      <c r="F435" t="inlineStr">
        <is>
          <t>Ritsu Doan - Japan</t>
        </is>
      </c>
      <c r="G435" t="inlineStr">
        <is>
          <t>Base</t>
        </is>
      </c>
      <c r="I435" t="n">
        <v>0</v>
      </c>
    </row>
    <row r="436" ht="20" customHeight="1">
      <c r="A436" t="inlineStr">
        <is>
          <t>Grupo F</t>
        </is>
      </c>
      <c r="B436" t="inlineStr">
        <is>
          <t>JPN</t>
        </is>
      </c>
      <c r="C436" t="inlineStr">
        <is>
          <t>Japan</t>
        </is>
      </c>
      <c r="D436" t="n">
        <v>15</v>
      </c>
      <c r="E436" t="inlineStr">
        <is>
          <t>JPN15</t>
        </is>
      </c>
      <c r="F436" t="inlineStr">
        <is>
          <t>Keito Nakamura - Japan</t>
        </is>
      </c>
      <c r="G436" t="inlineStr">
        <is>
          <t>Base</t>
        </is>
      </c>
      <c r="I436" t="n">
        <v>0</v>
      </c>
    </row>
    <row r="437" ht="20" customHeight="1">
      <c r="A437" t="inlineStr">
        <is>
          <t>Grupo F</t>
        </is>
      </c>
      <c r="B437" t="inlineStr">
        <is>
          <t>JPN</t>
        </is>
      </c>
      <c r="C437" t="inlineStr">
        <is>
          <t>Japan</t>
        </is>
      </c>
      <c r="D437" t="n">
        <v>16</v>
      </c>
      <c r="E437" t="inlineStr">
        <is>
          <t>JPN16</t>
        </is>
      </c>
      <c r="F437" t="inlineStr">
        <is>
          <t>Takumi Minamino - Japan</t>
        </is>
      </c>
      <c r="G437" t="inlineStr">
        <is>
          <t>Base</t>
        </is>
      </c>
      <c r="I437" t="n">
        <v>0</v>
      </c>
    </row>
    <row r="438" ht="20" customHeight="1">
      <c r="A438" t="inlineStr">
        <is>
          <t>Grupo F</t>
        </is>
      </c>
      <c r="B438" t="inlineStr">
        <is>
          <t>JPN</t>
        </is>
      </c>
      <c r="C438" t="inlineStr">
        <is>
          <t>Japan</t>
        </is>
      </c>
      <c r="D438" t="n">
        <v>17</v>
      </c>
      <c r="E438" t="inlineStr">
        <is>
          <t>JPN17</t>
        </is>
      </c>
      <c r="F438" t="inlineStr">
        <is>
          <t>Shuto Machino - Japan</t>
        </is>
      </c>
      <c r="G438" t="inlineStr">
        <is>
          <t>Base</t>
        </is>
      </c>
      <c r="I438" t="n">
        <v>0</v>
      </c>
    </row>
    <row r="439" ht="20" customHeight="1">
      <c r="A439" t="inlineStr">
        <is>
          <t>Grupo F</t>
        </is>
      </c>
      <c r="B439" t="inlineStr">
        <is>
          <t>JPN</t>
        </is>
      </c>
      <c r="C439" t="inlineStr">
        <is>
          <t>Japan</t>
        </is>
      </c>
      <c r="D439" t="n">
        <v>18</v>
      </c>
      <c r="E439" t="inlineStr">
        <is>
          <t>JPN18</t>
        </is>
      </c>
      <c r="F439" t="inlineStr">
        <is>
          <t>Junya Ito - Japan</t>
        </is>
      </c>
      <c r="G439" t="inlineStr">
        <is>
          <t>Base</t>
        </is>
      </c>
      <c r="I439" t="n">
        <v>0</v>
      </c>
    </row>
    <row r="440" ht="20" customHeight="1">
      <c r="A440" t="inlineStr">
        <is>
          <t>Grupo F</t>
        </is>
      </c>
      <c r="B440" t="inlineStr">
        <is>
          <t>JPN</t>
        </is>
      </c>
      <c r="C440" t="inlineStr">
        <is>
          <t>Japan</t>
        </is>
      </c>
      <c r="D440" t="n">
        <v>19</v>
      </c>
      <c r="E440" t="inlineStr">
        <is>
          <t>JPN19</t>
        </is>
      </c>
      <c r="F440" t="inlineStr">
        <is>
          <t>Koki Ogawa - Japan</t>
        </is>
      </c>
      <c r="G440" t="inlineStr">
        <is>
          <t>Base</t>
        </is>
      </c>
      <c r="I440" t="n">
        <v>0</v>
      </c>
    </row>
    <row r="441" ht="20" customHeight="1">
      <c r="A441" t="inlineStr">
        <is>
          <t>Grupo F</t>
        </is>
      </c>
      <c r="B441" t="inlineStr">
        <is>
          <t>JPN</t>
        </is>
      </c>
      <c r="C441" t="inlineStr">
        <is>
          <t>Japan</t>
        </is>
      </c>
      <c r="D441" t="n">
        <v>20</v>
      </c>
      <c r="E441" t="inlineStr">
        <is>
          <t>JPN20</t>
        </is>
      </c>
      <c r="F441" t="inlineStr">
        <is>
          <t>Ayase Ueda - Japan</t>
        </is>
      </c>
      <c r="G441" t="inlineStr">
        <is>
          <t>Base</t>
        </is>
      </c>
      <c r="I441" t="n">
        <v>0</v>
      </c>
    </row>
    <row r="442" ht="20" customHeight="1">
      <c r="A442" t="inlineStr">
        <is>
          <t>Grupo F</t>
        </is>
      </c>
      <c r="B442" t="inlineStr">
        <is>
          <t>SWE</t>
        </is>
      </c>
      <c r="C442" t="inlineStr">
        <is>
          <t>Sweden</t>
        </is>
      </c>
      <c r="D442" t="n">
        <v>1</v>
      </c>
      <c r="E442" t="inlineStr">
        <is>
          <t>SWE1</t>
        </is>
      </c>
      <c r="F442" t="inlineStr">
        <is>
          <t>Team Logo - Sweden FOIL</t>
        </is>
      </c>
      <c r="G442" t="inlineStr">
        <is>
          <t>FOIL</t>
        </is>
      </c>
      <c r="I442" t="n">
        <v>0</v>
      </c>
    </row>
    <row r="443" ht="20" customHeight="1">
      <c r="A443" t="inlineStr">
        <is>
          <t>Grupo F</t>
        </is>
      </c>
      <c r="B443" t="inlineStr">
        <is>
          <t>SWE</t>
        </is>
      </c>
      <c r="C443" t="inlineStr">
        <is>
          <t>Sweden</t>
        </is>
      </c>
      <c r="D443" t="n">
        <v>2</v>
      </c>
      <c r="E443" t="inlineStr">
        <is>
          <t>SWE2</t>
        </is>
      </c>
      <c r="F443" t="inlineStr">
        <is>
          <t>Victor Johansson - Sweden</t>
        </is>
      </c>
      <c r="G443" t="inlineStr">
        <is>
          <t>Base</t>
        </is>
      </c>
      <c r="I443" t="n">
        <v>0</v>
      </c>
    </row>
    <row r="444" ht="20" customHeight="1">
      <c r="A444" t="inlineStr">
        <is>
          <t>Grupo F</t>
        </is>
      </c>
      <c r="B444" t="inlineStr">
        <is>
          <t>SWE</t>
        </is>
      </c>
      <c r="C444" t="inlineStr">
        <is>
          <t>Sweden</t>
        </is>
      </c>
      <c r="D444" t="n">
        <v>3</v>
      </c>
      <c r="E444" t="inlineStr">
        <is>
          <t>SWE3</t>
        </is>
      </c>
      <c r="F444" t="inlineStr">
        <is>
          <t>Isak Hien - Sweden</t>
        </is>
      </c>
      <c r="G444" t="inlineStr">
        <is>
          <t>Base</t>
        </is>
      </c>
      <c r="I444" t="n">
        <v>0</v>
      </c>
    </row>
    <row r="445" ht="20" customHeight="1">
      <c r="A445" t="inlineStr">
        <is>
          <t>Grupo F</t>
        </is>
      </c>
      <c r="B445" t="inlineStr">
        <is>
          <t>SWE</t>
        </is>
      </c>
      <c r="C445" t="inlineStr">
        <is>
          <t>Sweden</t>
        </is>
      </c>
      <c r="D445" t="n">
        <v>4</v>
      </c>
      <c r="E445" t="inlineStr">
        <is>
          <t>SWE4</t>
        </is>
      </c>
      <c r="F445" t="inlineStr">
        <is>
          <t>Gabriel Gudmundsson - Sweden</t>
        </is>
      </c>
      <c r="G445" t="inlineStr">
        <is>
          <t>Base</t>
        </is>
      </c>
      <c r="I445" t="n">
        <v>0</v>
      </c>
    </row>
    <row r="446" ht="20" customHeight="1">
      <c r="A446" t="inlineStr">
        <is>
          <t>Grupo F</t>
        </is>
      </c>
      <c r="B446" t="inlineStr">
        <is>
          <t>SWE</t>
        </is>
      </c>
      <c r="C446" t="inlineStr">
        <is>
          <t>Sweden</t>
        </is>
      </c>
      <c r="D446" t="n">
        <v>5</v>
      </c>
      <c r="E446" t="inlineStr">
        <is>
          <t>SWE5</t>
        </is>
      </c>
      <c r="F446" t="inlineStr">
        <is>
          <t>Emil Holm - Sweden</t>
        </is>
      </c>
      <c r="G446" t="inlineStr">
        <is>
          <t>Base</t>
        </is>
      </c>
      <c r="I446" t="n">
        <v>0</v>
      </c>
    </row>
    <row r="447" ht="20" customHeight="1">
      <c r="A447" t="inlineStr">
        <is>
          <t>Grupo F</t>
        </is>
      </c>
      <c r="B447" t="inlineStr">
        <is>
          <t>SWE</t>
        </is>
      </c>
      <c r="C447" t="inlineStr">
        <is>
          <t>Sweden</t>
        </is>
      </c>
      <c r="D447" t="n">
        <v>6</v>
      </c>
      <c r="E447" t="inlineStr">
        <is>
          <t>SWE6</t>
        </is>
      </c>
      <c r="F447" t="inlineStr">
        <is>
          <t>Victor Nilsson Lindelöf - Sweden</t>
        </is>
      </c>
      <c r="G447" t="inlineStr">
        <is>
          <t>Base</t>
        </is>
      </c>
      <c r="I447" t="n">
        <v>0</v>
      </c>
    </row>
    <row r="448" ht="20" customHeight="1">
      <c r="A448" t="inlineStr">
        <is>
          <t>Grupo F</t>
        </is>
      </c>
      <c r="B448" t="inlineStr">
        <is>
          <t>SWE</t>
        </is>
      </c>
      <c r="C448" t="inlineStr">
        <is>
          <t>Sweden</t>
        </is>
      </c>
      <c r="D448" t="n">
        <v>7</v>
      </c>
      <c r="E448" t="inlineStr">
        <is>
          <t>SWE7</t>
        </is>
      </c>
      <c r="F448" t="inlineStr">
        <is>
          <t>Gustaf Lagerbielke - Sweden</t>
        </is>
      </c>
      <c r="G448" t="inlineStr">
        <is>
          <t>Base</t>
        </is>
      </c>
      <c r="I448" t="n">
        <v>0</v>
      </c>
    </row>
    <row r="449" ht="20" customHeight="1">
      <c r="A449" t="inlineStr">
        <is>
          <t>Grupo F</t>
        </is>
      </c>
      <c r="B449" t="inlineStr">
        <is>
          <t>SWE</t>
        </is>
      </c>
      <c r="C449" t="inlineStr">
        <is>
          <t>Sweden</t>
        </is>
      </c>
      <c r="D449" t="n">
        <v>8</v>
      </c>
      <c r="E449" t="inlineStr">
        <is>
          <t>SWE8</t>
        </is>
      </c>
      <c r="F449" t="inlineStr">
        <is>
          <t>Lucas Bergvall - Sweden</t>
        </is>
      </c>
      <c r="G449" t="inlineStr">
        <is>
          <t>Base</t>
        </is>
      </c>
      <c r="I449" t="n">
        <v>0</v>
      </c>
    </row>
    <row r="450" ht="20" customHeight="1">
      <c r="A450" t="inlineStr">
        <is>
          <t>Grupo F</t>
        </is>
      </c>
      <c r="B450" t="inlineStr">
        <is>
          <t>SWE</t>
        </is>
      </c>
      <c r="C450" t="inlineStr">
        <is>
          <t>Sweden</t>
        </is>
      </c>
      <c r="D450" t="n">
        <v>9</v>
      </c>
      <c r="E450" t="inlineStr">
        <is>
          <t>SWE9</t>
        </is>
      </c>
      <c r="F450" t="inlineStr">
        <is>
          <t>Hugo Larsson - Sweden</t>
        </is>
      </c>
      <c r="G450" t="inlineStr">
        <is>
          <t>Base</t>
        </is>
      </c>
      <c r="I450" t="n">
        <v>0</v>
      </c>
    </row>
    <row r="451" ht="20" customHeight="1">
      <c r="A451" t="inlineStr">
        <is>
          <t>Grupo F</t>
        </is>
      </c>
      <c r="B451" t="inlineStr">
        <is>
          <t>SWE</t>
        </is>
      </c>
      <c r="C451" t="inlineStr">
        <is>
          <t>Sweden</t>
        </is>
      </c>
      <c r="D451" t="n">
        <v>10</v>
      </c>
      <c r="E451" t="inlineStr">
        <is>
          <t>SWE10</t>
        </is>
      </c>
      <c r="F451" t="inlineStr">
        <is>
          <t>Jesper Karlström - Sweden</t>
        </is>
      </c>
      <c r="G451" t="inlineStr">
        <is>
          <t>Base</t>
        </is>
      </c>
      <c r="I451" t="n">
        <v>0</v>
      </c>
    </row>
    <row r="452" ht="20" customHeight="1">
      <c r="A452" t="inlineStr">
        <is>
          <t>Grupo F</t>
        </is>
      </c>
      <c r="B452" t="inlineStr">
        <is>
          <t>SWE</t>
        </is>
      </c>
      <c r="C452" t="inlineStr">
        <is>
          <t>Sweden</t>
        </is>
      </c>
      <c r="D452" t="n">
        <v>11</v>
      </c>
      <c r="E452" t="inlineStr">
        <is>
          <t>SWE11</t>
        </is>
      </c>
      <c r="F452" t="inlineStr">
        <is>
          <t>Yasin Ayari - Sweden</t>
        </is>
      </c>
      <c r="G452" t="inlineStr">
        <is>
          <t>Base</t>
        </is>
      </c>
      <c r="I452" t="n">
        <v>0</v>
      </c>
    </row>
    <row r="453" ht="20" customHeight="1">
      <c r="A453" t="inlineStr">
        <is>
          <t>Grupo F</t>
        </is>
      </c>
      <c r="B453" t="inlineStr">
        <is>
          <t>SWE</t>
        </is>
      </c>
      <c r="C453" t="inlineStr">
        <is>
          <t>Sweden</t>
        </is>
      </c>
      <c r="D453" t="n">
        <v>12</v>
      </c>
      <c r="E453" t="inlineStr">
        <is>
          <t>SWE12</t>
        </is>
      </c>
      <c r="F453" t="inlineStr">
        <is>
          <t>Mattias Svanberg - Sweden</t>
        </is>
      </c>
      <c r="G453" t="inlineStr">
        <is>
          <t>Base</t>
        </is>
      </c>
      <c r="I453" t="n">
        <v>0</v>
      </c>
    </row>
    <row r="454" ht="20" customHeight="1">
      <c r="A454" t="inlineStr">
        <is>
          <t>Grupo F</t>
        </is>
      </c>
      <c r="B454" t="inlineStr">
        <is>
          <t>SWE</t>
        </is>
      </c>
      <c r="C454" t="inlineStr">
        <is>
          <t>Sweden</t>
        </is>
      </c>
      <c r="D454" t="n">
        <v>13</v>
      </c>
      <c r="E454" t="inlineStr">
        <is>
          <t>SWE13</t>
        </is>
      </c>
      <c r="F454" t="inlineStr">
        <is>
          <t>Team Photo - Sweden</t>
        </is>
      </c>
      <c r="G454" t="inlineStr">
        <is>
          <t>Base</t>
        </is>
      </c>
      <c r="I454" t="n">
        <v>0</v>
      </c>
    </row>
    <row r="455" ht="20" customHeight="1">
      <c r="A455" t="inlineStr">
        <is>
          <t>Grupo F</t>
        </is>
      </c>
      <c r="B455" t="inlineStr">
        <is>
          <t>SWE</t>
        </is>
      </c>
      <c r="C455" t="inlineStr">
        <is>
          <t>Sweden</t>
        </is>
      </c>
      <c r="D455" t="n">
        <v>14</v>
      </c>
      <c r="E455" t="inlineStr">
        <is>
          <t>SWE14</t>
        </is>
      </c>
      <c r="F455" t="inlineStr">
        <is>
          <t>Daniel Svensson - Sweden</t>
        </is>
      </c>
      <c r="G455" t="inlineStr">
        <is>
          <t>Base</t>
        </is>
      </c>
      <c r="I455" t="n">
        <v>0</v>
      </c>
    </row>
    <row r="456" ht="20" customHeight="1">
      <c r="A456" t="inlineStr">
        <is>
          <t>Grupo F</t>
        </is>
      </c>
      <c r="B456" t="inlineStr">
        <is>
          <t>SWE</t>
        </is>
      </c>
      <c r="C456" t="inlineStr">
        <is>
          <t>Sweden</t>
        </is>
      </c>
      <c r="D456" t="n">
        <v>15</v>
      </c>
      <c r="E456" t="inlineStr">
        <is>
          <t>SWE15</t>
        </is>
      </c>
      <c r="F456" t="inlineStr">
        <is>
          <t>Ken Sema - Sweden</t>
        </is>
      </c>
      <c r="G456" t="inlineStr">
        <is>
          <t>Base</t>
        </is>
      </c>
      <c r="I456" t="n">
        <v>0</v>
      </c>
    </row>
    <row r="457" ht="20" customHeight="1">
      <c r="A457" t="inlineStr">
        <is>
          <t>Grupo F</t>
        </is>
      </c>
      <c r="B457" t="inlineStr">
        <is>
          <t>SWE</t>
        </is>
      </c>
      <c r="C457" t="inlineStr">
        <is>
          <t>Sweden</t>
        </is>
      </c>
      <c r="D457" t="n">
        <v>16</v>
      </c>
      <c r="E457" t="inlineStr">
        <is>
          <t>SWE16</t>
        </is>
      </c>
      <c r="F457" t="inlineStr">
        <is>
          <t>Roony Bardghji - Sweden</t>
        </is>
      </c>
      <c r="G457" t="inlineStr">
        <is>
          <t>Base</t>
        </is>
      </c>
      <c r="I457" t="n">
        <v>0</v>
      </c>
    </row>
    <row r="458" ht="20" customHeight="1">
      <c r="A458" t="inlineStr">
        <is>
          <t>Grupo F</t>
        </is>
      </c>
      <c r="B458" t="inlineStr">
        <is>
          <t>SWE</t>
        </is>
      </c>
      <c r="C458" t="inlineStr">
        <is>
          <t>Sweden</t>
        </is>
      </c>
      <c r="D458" t="n">
        <v>17</v>
      </c>
      <c r="E458" t="inlineStr">
        <is>
          <t>SWE17</t>
        </is>
      </c>
      <c r="F458" t="inlineStr">
        <is>
          <t>Dejan Kulusevski - Sweden</t>
        </is>
      </c>
      <c r="G458" t="inlineStr">
        <is>
          <t>Base</t>
        </is>
      </c>
      <c r="I458" t="n">
        <v>0</v>
      </c>
    </row>
    <row r="459" ht="20" customHeight="1">
      <c r="A459" t="inlineStr">
        <is>
          <t>Grupo F</t>
        </is>
      </c>
      <c r="B459" t="inlineStr">
        <is>
          <t>SWE</t>
        </is>
      </c>
      <c r="C459" t="inlineStr">
        <is>
          <t>Sweden</t>
        </is>
      </c>
      <c r="D459" t="n">
        <v>18</v>
      </c>
      <c r="E459" t="inlineStr">
        <is>
          <t>SWE18</t>
        </is>
      </c>
      <c r="F459" t="inlineStr">
        <is>
          <t>Anthony Elanga - Sweden</t>
        </is>
      </c>
      <c r="G459" t="inlineStr">
        <is>
          <t>Base</t>
        </is>
      </c>
      <c r="I459" t="n">
        <v>0</v>
      </c>
    </row>
    <row r="460" ht="20" customHeight="1">
      <c r="A460" t="inlineStr">
        <is>
          <t>Grupo F</t>
        </is>
      </c>
      <c r="B460" t="inlineStr">
        <is>
          <t>SWE</t>
        </is>
      </c>
      <c r="C460" t="inlineStr">
        <is>
          <t>Sweden</t>
        </is>
      </c>
      <c r="D460" t="n">
        <v>19</v>
      </c>
      <c r="E460" t="inlineStr">
        <is>
          <t>SWE19</t>
        </is>
      </c>
      <c r="F460" t="inlineStr">
        <is>
          <t>Alexander Isak - Sweden</t>
        </is>
      </c>
      <c r="G460" t="inlineStr">
        <is>
          <t>Base</t>
        </is>
      </c>
      <c r="I460" t="n">
        <v>0</v>
      </c>
    </row>
    <row r="461" ht="20" customHeight="1">
      <c r="A461" t="inlineStr">
        <is>
          <t>Grupo F</t>
        </is>
      </c>
      <c r="B461" t="inlineStr">
        <is>
          <t>SWE</t>
        </is>
      </c>
      <c r="C461" t="inlineStr">
        <is>
          <t>Sweden</t>
        </is>
      </c>
      <c r="D461" t="n">
        <v>20</v>
      </c>
      <c r="E461" t="inlineStr">
        <is>
          <t>SWE20</t>
        </is>
      </c>
      <c r="F461" t="inlineStr">
        <is>
          <t>Viktor Gyökeres - Sweden</t>
        </is>
      </c>
      <c r="G461" t="inlineStr">
        <is>
          <t>Base</t>
        </is>
      </c>
      <c r="I461" t="n">
        <v>0</v>
      </c>
    </row>
    <row r="462" ht="20" customHeight="1">
      <c r="A462" t="inlineStr">
        <is>
          <t>Grupo F</t>
        </is>
      </c>
      <c r="B462" t="inlineStr">
        <is>
          <t>TUN</t>
        </is>
      </c>
      <c r="C462" t="inlineStr">
        <is>
          <t>Tunisia</t>
        </is>
      </c>
      <c r="D462" t="n">
        <v>1</v>
      </c>
      <c r="E462" t="inlineStr">
        <is>
          <t>TUN1</t>
        </is>
      </c>
      <c r="F462" t="inlineStr">
        <is>
          <t>Team Logo - Tunisia FOIL</t>
        </is>
      </c>
      <c r="G462" t="inlineStr">
        <is>
          <t>FOIL</t>
        </is>
      </c>
      <c r="I462" t="n">
        <v>0</v>
      </c>
    </row>
    <row r="463" ht="20" customHeight="1">
      <c r="A463" t="inlineStr">
        <is>
          <t>Grupo F</t>
        </is>
      </c>
      <c r="B463" t="inlineStr">
        <is>
          <t>TUN</t>
        </is>
      </c>
      <c r="C463" t="inlineStr">
        <is>
          <t>Tunisia</t>
        </is>
      </c>
      <c r="D463" t="n">
        <v>2</v>
      </c>
      <c r="E463" t="inlineStr">
        <is>
          <t>TUN2</t>
        </is>
      </c>
      <c r="F463" t="inlineStr">
        <is>
          <t>Bechir Ben Said - Tunisia</t>
        </is>
      </c>
      <c r="G463" t="inlineStr">
        <is>
          <t>Base</t>
        </is>
      </c>
      <c r="I463" t="n">
        <v>0</v>
      </c>
    </row>
    <row r="464" ht="20" customHeight="1">
      <c r="A464" t="inlineStr">
        <is>
          <t>Grupo F</t>
        </is>
      </c>
      <c r="B464" t="inlineStr">
        <is>
          <t>TUN</t>
        </is>
      </c>
      <c r="C464" t="inlineStr">
        <is>
          <t>Tunisia</t>
        </is>
      </c>
      <c r="D464" t="n">
        <v>3</v>
      </c>
      <c r="E464" t="inlineStr">
        <is>
          <t>TUN3</t>
        </is>
      </c>
      <c r="F464" t="inlineStr">
        <is>
          <t>Aymen Dahmen - Tunisia</t>
        </is>
      </c>
      <c r="G464" t="inlineStr">
        <is>
          <t>Base</t>
        </is>
      </c>
      <c r="I464" t="n">
        <v>0</v>
      </c>
    </row>
    <row r="465" ht="20" customHeight="1">
      <c r="A465" t="inlineStr">
        <is>
          <t>Grupo F</t>
        </is>
      </c>
      <c r="B465" t="inlineStr">
        <is>
          <t>TUN</t>
        </is>
      </c>
      <c r="C465" t="inlineStr">
        <is>
          <t>Tunisia</t>
        </is>
      </c>
      <c r="D465" t="n">
        <v>4</v>
      </c>
      <c r="E465" t="inlineStr">
        <is>
          <t>TUN4</t>
        </is>
      </c>
      <c r="F465" t="inlineStr">
        <is>
          <t>Yan Valery - Tunisia</t>
        </is>
      </c>
      <c r="G465" t="inlineStr">
        <is>
          <t>Base</t>
        </is>
      </c>
      <c r="I465" t="n">
        <v>0</v>
      </c>
    </row>
    <row r="466" ht="20" customHeight="1">
      <c r="A466" t="inlineStr">
        <is>
          <t>Grupo F</t>
        </is>
      </c>
      <c r="B466" t="inlineStr">
        <is>
          <t>TUN</t>
        </is>
      </c>
      <c r="C466" t="inlineStr">
        <is>
          <t>Tunisia</t>
        </is>
      </c>
      <c r="D466" t="n">
        <v>5</v>
      </c>
      <c r="E466" t="inlineStr">
        <is>
          <t>TUN5</t>
        </is>
      </c>
      <c r="F466" t="inlineStr">
        <is>
          <t>Montassar Talbi - Tunisia</t>
        </is>
      </c>
      <c r="G466" t="inlineStr">
        <is>
          <t>Base</t>
        </is>
      </c>
      <c r="I466" t="n">
        <v>0</v>
      </c>
    </row>
    <row r="467" ht="20" customHeight="1">
      <c r="A467" t="inlineStr">
        <is>
          <t>Grupo F</t>
        </is>
      </c>
      <c r="B467" t="inlineStr">
        <is>
          <t>TUN</t>
        </is>
      </c>
      <c r="C467" t="inlineStr">
        <is>
          <t>Tunisia</t>
        </is>
      </c>
      <c r="D467" t="n">
        <v>6</v>
      </c>
      <c r="E467" t="inlineStr">
        <is>
          <t>TUN6</t>
        </is>
      </c>
      <c r="F467" t="inlineStr">
        <is>
          <t>Yassine Meriah - Tunisia</t>
        </is>
      </c>
      <c r="G467" t="inlineStr">
        <is>
          <t>Base</t>
        </is>
      </c>
      <c r="I467" t="n">
        <v>0</v>
      </c>
    </row>
    <row r="468" ht="20" customHeight="1">
      <c r="A468" t="inlineStr">
        <is>
          <t>Grupo F</t>
        </is>
      </c>
      <c r="B468" t="inlineStr">
        <is>
          <t>TUN</t>
        </is>
      </c>
      <c r="C468" t="inlineStr">
        <is>
          <t>Tunisia</t>
        </is>
      </c>
      <c r="D468" t="n">
        <v>7</v>
      </c>
      <c r="E468" t="inlineStr">
        <is>
          <t>TUN7</t>
        </is>
      </c>
      <c r="F468" t="inlineStr">
        <is>
          <t>Ali Abdi - Tunisia</t>
        </is>
      </c>
      <c r="G468" t="inlineStr">
        <is>
          <t>Base</t>
        </is>
      </c>
      <c r="I468" t="n">
        <v>0</v>
      </c>
    </row>
    <row r="469" ht="20" customHeight="1">
      <c r="A469" t="inlineStr">
        <is>
          <t>Grupo F</t>
        </is>
      </c>
      <c r="B469" t="inlineStr">
        <is>
          <t>TUN</t>
        </is>
      </c>
      <c r="C469" t="inlineStr">
        <is>
          <t>Tunisia</t>
        </is>
      </c>
      <c r="D469" t="n">
        <v>8</v>
      </c>
      <c r="E469" t="inlineStr">
        <is>
          <t>TUN8</t>
        </is>
      </c>
      <c r="F469" t="inlineStr">
        <is>
          <t>Dylan Bronn - Tunisia</t>
        </is>
      </c>
      <c r="G469" t="inlineStr">
        <is>
          <t>Base</t>
        </is>
      </c>
      <c r="I469" t="n">
        <v>0</v>
      </c>
    </row>
    <row r="470" ht="20" customHeight="1">
      <c r="A470" t="inlineStr">
        <is>
          <t>Grupo F</t>
        </is>
      </c>
      <c r="B470" t="inlineStr">
        <is>
          <t>TUN</t>
        </is>
      </c>
      <c r="C470" t="inlineStr">
        <is>
          <t>Tunisia</t>
        </is>
      </c>
      <c r="D470" t="n">
        <v>9</v>
      </c>
      <c r="E470" t="inlineStr">
        <is>
          <t>TUN9</t>
        </is>
      </c>
      <c r="F470" t="inlineStr">
        <is>
          <t>Ellyes Skhiri - Tunisia</t>
        </is>
      </c>
      <c r="G470" t="inlineStr">
        <is>
          <t>Base</t>
        </is>
      </c>
      <c r="I470" t="n">
        <v>0</v>
      </c>
    </row>
    <row r="471" ht="20" customHeight="1">
      <c r="A471" t="inlineStr">
        <is>
          <t>Grupo F</t>
        </is>
      </c>
      <c r="B471" t="inlineStr">
        <is>
          <t>TUN</t>
        </is>
      </c>
      <c r="C471" t="inlineStr">
        <is>
          <t>Tunisia</t>
        </is>
      </c>
      <c r="D471" t="n">
        <v>10</v>
      </c>
      <c r="E471" t="inlineStr">
        <is>
          <t>TUN10</t>
        </is>
      </c>
      <c r="F471" t="inlineStr">
        <is>
          <t>Aissa Laidouni - Tunisia</t>
        </is>
      </c>
      <c r="G471" t="inlineStr">
        <is>
          <t>Base</t>
        </is>
      </c>
      <c r="I471" t="n">
        <v>0</v>
      </c>
    </row>
    <row r="472" ht="20" customHeight="1">
      <c r="A472" t="inlineStr">
        <is>
          <t>Grupo F</t>
        </is>
      </c>
      <c r="B472" t="inlineStr">
        <is>
          <t>TUN</t>
        </is>
      </c>
      <c r="C472" t="inlineStr">
        <is>
          <t>Tunisia</t>
        </is>
      </c>
      <c r="D472" t="n">
        <v>11</v>
      </c>
      <c r="E472" t="inlineStr">
        <is>
          <t>TUN11</t>
        </is>
      </c>
      <c r="F472" t="inlineStr">
        <is>
          <t>Ferjani Sassi - Tunisia</t>
        </is>
      </c>
      <c r="G472" t="inlineStr">
        <is>
          <t>Base</t>
        </is>
      </c>
      <c r="I472" t="n">
        <v>0</v>
      </c>
    </row>
    <row r="473" ht="20" customHeight="1">
      <c r="A473" t="inlineStr">
        <is>
          <t>Grupo F</t>
        </is>
      </c>
      <c r="B473" t="inlineStr">
        <is>
          <t>TUN</t>
        </is>
      </c>
      <c r="C473" t="inlineStr">
        <is>
          <t>Tunisia</t>
        </is>
      </c>
      <c r="D473" t="n">
        <v>12</v>
      </c>
      <c r="E473" t="inlineStr">
        <is>
          <t>TUN12</t>
        </is>
      </c>
      <c r="F473" t="inlineStr">
        <is>
          <t>Mohamed Ali Ben Romdhane - Tunisia</t>
        </is>
      </c>
      <c r="G473" t="inlineStr">
        <is>
          <t>Base</t>
        </is>
      </c>
      <c r="I473" t="n">
        <v>0</v>
      </c>
    </row>
    <row r="474" ht="20" customHeight="1">
      <c r="A474" t="inlineStr">
        <is>
          <t>Grupo F</t>
        </is>
      </c>
      <c r="B474" t="inlineStr">
        <is>
          <t>TUN</t>
        </is>
      </c>
      <c r="C474" t="inlineStr">
        <is>
          <t>Tunisia</t>
        </is>
      </c>
      <c r="D474" t="n">
        <v>13</v>
      </c>
      <c r="E474" t="inlineStr">
        <is>
          <t>TUN13</t>
        </is>
      </c>
      <c r="F474" t="inlineStr">
        <is>
          <t>Team Photo - Tunisia</t>
        </is>
      </c>
      <c r="G474" t="inlineStr">
        <is>
          <t>Base</t>
        </is>
      </c>
      <c r="I474" t="n">
        <v>0</v>
      </c>
    </row>
    <row r="475" ht="20" customHeight="1">
      <c r="A475" t="inlineStr">
        <is>
          <t>Grupo F</t>
        </is>
      </c>
      <c r="B475" t="inlineStr">
        <is>
          <t>TUN</t>
        </is>
      </c>
      <c r="C475" t="inlineStr">
        <is>
          <t>Tunisia</t>
        </is>
      </c>
      <c r="D475" t="n">
        <v>14</v>
      </c>
      <c r="E475" t="inlineStr">
        <is>
          <t>TUN14</t>
        </is>
      </c>
      <c r="F475" t="inlineStr">
        <is>
          <t>Hannibal Mejbri - Tunisia</t>
        </is>
      </c>
      <c r="G475" t="inlineStr">
        <is>
          <t>Base</t>
        </is>
      </c>
      <c r="I475" t="n">
        <v>0</v>
      </c>
    </row>
    <row r="476" ht="20" customHeight="1">
      <c r="A476" t="inlineStr">
        <is>
          <t>Grupo F</t>
        </is>
      </c>
      <c r="B476" t="inlineStr">
        <is>
          <t>TUN</t>
        </is>
      </c>
      <c r="C476" t="inlineStr">
        <is>
          <t>Tunisia</t>
        </is>
      </c>
      <c r="D476" t="n">
        <v>15</v>
      </c>
      <c r="E476" t="inlineStr">
        <is>
          <t>TUN15</t>
        </is>
      </c>
      <c r="F476" t="inlineStr">
        <is>
          <t>Elias Achouri - Tunisia</t>
        </is>
      </c>
      <c r="G476" t="inlineStr">
        <is>
          <t>Base</t>
        </is>
      </c>
      <c r="I476" t="n">
        <v>0</v>
      </c>
    </row>
    <row r="477" ht="20" customHeight="1">
      <c r="A477" t="inlineStr">
        <is>
          <t>Grupo F</t>
        </is>
      </c>
      <c r="B477" t="inlineStr">
        <is>
          <t>TUN</t>
        </is>
      </c>
      <c r="C477" t="inlineStr">
        <is>
          <t>Tunisia</t>
        </is>
      </c>
      <c r="D477" t="n">
        <v>16</v>
      </c>
      <c r="E477" t="inlineStr">
        <is>
          <t>TUN16</t>
        </is>
      </c>
      <c r="F477" t="inlineStr">
        <is>
          <t>Elias Saad - Tunisia</t>
        </is>
      </c>
      <c r="G477" t="inlineStr">
        <is>
          <t>Base</t>
        </is>
      </c>
      <c r="I477" t="n">
        <v>0</v>
      </c>
    </row>
    <row r="478" ht="20" customHeight="1">
      <c r="A478" t="inlineStr">
        <is>
          <t>Grupo F</t>
        </is>
      </c>
      <c r="B478" t="inlineStr">
        <is>
          <t>TUN</t>
        </is>
      </c>
      <c r="C478" t="inlineStr">
        <is>
          <t>Tunisia</t>
        </is>
      </c>
      <c r="D478" t="n">
        <v>17</v>
      </c>
      <c r="E478" t="inlineStr">
        <is>
          <t>TUN17</t>
        </is>
      </c>
      <c r="F478" t="inlineStr">
        <is>
          <t>Hazem Mastouri - Tunisia</t>
        </is>
      </c>
      <c r="G478" t="inlineStr">
        <is>
          <t>Base</t>
        </is>
      </c>
      <c r="I478" t="n">
        <v>0</v>
      </c>
    </row>
    <row r="479" ht="20" customHeight="1">
      <c r="A479" t="inlineStr">
        <is>
          <t>Grupo F</t>
        </is>
      </c>
      <c r="B479" t="inlineStr">
        <is>
          <t>TUN</t>
        </is>
      </c>
      <c r="C479" t="inlineStr">
        <is>
          <t>Tunisia</t>
        </is>
      </c>
      <c r="D479" t="n">
        <v>18</v>
      </c>
      <c r="E479" t="inlineStr">
        <is>
          <t>TUN18</t>
        </is>
      </c>
      <c r="F479" t="inlineStr">
        <is>
          <t>Ismael Gharbi - Tunisia</t>
        </is>
      </c>
      <c r="G479" t="inlineStr">
        <is>
          <t>Base</t>
        </is>
      </c>
      <c r="I479" t="n">
        <v>0</v>
      </c>
    </row>
    <row r="480" ht="20" customHeight="1">
      <c r="A480" t="inlineStr">
        <is>
          <t>Grupo F</t>
        </is>
      </c>
      <c r="B480" t="inlineStr">
        <is>
          <t>TUN</t>
        </is>
      </c>
      <c r="C480" t="inlineStr">
        <is>
          <t>Tunisia</t>
        </is>
      </c>
      <c r="D480" t="n">
        <v>19</v>
      </c>
      <c r="E480" t="inlineStr">
        <is>
          <t>TUN19</t>
        </is>
      </c>
      <c r="F480" t="inlineStr">
        <is>
          <t>Sayfallah Ltaief - Tunisia</t>
        </is>
      </c>
      <c r="G480" t="inlineStr">
        <is>
          <t>Base</t>
        </is>
      </c>
      <c r="I480" t="n">
        <v>0</v>
      </c>
    </row>
    <row r="481" ht="20" customHeight="1">
      <c r="A481" t="inlineStr">
        <is>
          <t>Grupo F</t>
        </is>
      </c>
      <c r="B481" t="inlineStr">
        <is>
          <t>TUN</t>
        </is>
      </c>
      <c r="C481" t="inlineStr">
        <is>
          <t>Tunisia</t>
        </is>
      </c>
      <c r="D481" t="n">
        <v>20</v>
      </c>
      <c r="E481" t="inlineStr">
        <is>
          <t>TUN20</t>
        </is>
      </c>
      <c r="F481" t="inlineStr">
        <is>
          <t>Naim Sliti - Tunisia</t>
        </is>
      </c>
      <c r="G481" t="inlineStr">
        <is>
          <t>Base</t>
        </is>
      </c>
      <c r="I481" t="n">
        <v>0</v>
      </c>
    </row>
    <row r="482" ht="20" customHeight="1">
      <c r="A482" t="inlineStr">
        <is>
          <t>Grupo G</t>
        </is>
      </c>
      <c r="B482" t="inlineStr">
        <is>
          <t>BEL</t>
        </is>
      </c>
      <c r="C482" t="inlineStr">
        <is>
          <t>Belgium</t>
        </is>
      </c>
      <c r="D482" t="n">
        <v>1</v>
      </c>
      <c r="E482" t="inlineStr">
        <is>
          <t>BEL1</t>
        </is>
      </c>
      <c r="F482" t="inlineStr">
        <is>
          <t>Team Logo - Belgium FOIL</t>
        </is>
      </c>
      <c r="G482" t="inlineStr">
        <is>
          <t>FOIL</t>
        </is>
      </c>
      <c r="I482" t="n">
        <v>0</v>
      </c>
    </row>
    <row r="483" ht="20" customHeight="1">
      <c r="A483" t="inlineStr">
        <is>
          <t>Grupo G</t>
        </is>
      </c>
      <c r="B483" t="inlineStr">
        <is>
          <t>BEL</t>
        </is>
      </c>
      <c r="C483" t="inlineStr">
        <is>
          <t>Belgium</t>
        </is>
      </c>
      <c r="D483" t="n">
        <v>2</v>
      </c>
      <c r="E483" t="inlineStr">
        <is>
          <t>BEL2</t>
        </is>
      </c>
      <c r="F483" t="inlineStr">
        <is>
          <t>Thibaut Courtois - Belgium</t>
        </is>
      </c>
      <c r="G483" t="inlineStr">
        <is>
          <t>Base</t>
        </is>
      </c>
      <c r="I483" t="n">
        <v>0</v>
      </c>
    </row>
    <row r="484" ht="20" customHeight="1">
      <c r="A484" t="inlineStr">
        <is>
          <t>Grupo G</t>
        </is>
      </c>
      <c r="B484" t="inlineStr">
        <is>
          <t>BEL</t>
        </is>
      </c>
      <c r="C484" t="inlineStr">
        <is>
          <t>Belgium</t>
        </is>
      </c>
      <c r="D484" t="n">
        <v>3</v>
      </c>
      <c r="E484" t="inlineStr">
        <is>
          <t>BEL3</t>
        </is>
      </c>
      <c r="F484" t="inlineStr">
        <is>
          <t>Arthur Theate - Belgium</t>
        </is>
      </c>
      <c r="G484" t="inlineStr">
        <is>
          <t>Base</t>
        </is>
      </c>
      <c r="I484" t="n">
        <v>0</v>
      </c>
    </row>
    <row r="485" ht="20" customHeight="1">
      <c r="A485" t="inlineStr">
        <is>
          <t>Grupo G</t>
        </is>
      </c>
      <c r="B485" t="inlineStr">
        <is>
          <t>BEL</t>
        </is>
      </c>
      <c r="C485" t="inlineStr">
        <is>
          <t>Belgium</t>
        </is>
      </c>
      <c r="D485" t="n">
        <v>4</v>
      </c>
      <c r="E485" t="inlineStr">
        <is>
          <t>BEL4</t>
        </is>
      </c>
      <c r="F485" t="inlineStr">
        <is>
          <t>Timothy Castagne - Belgium</t>
        </is>
      </c>
      <c r="G485" t="inlineStr">
        <is>
          <t>Base</t>
        </is>
      </c>
      <c r="I485" t="n">
        <v>0</v>
      </c>
    </row>
    <row r="486" ht="20" customHeight="1">
      <c r="A486" t="inlineStr">
        <is>
          <t>Grupo G</t>
        </is>
      </c>
      <c r="B486" t="inlineStr">
        <is>
          <t>BEL</t>
        </is>
      </c>
      <c r="C486" t="inlineStr">
        <is>
          <t>Belgium</t>
        </is>
      </c>
      <c r="D486" t="n">
        <v>5</v>
      </c>
      <c r="E486" t="inlineStr">
        <is>
          <t>BEL5</t>
        </is>
      </c>
      <c r="F486" t="inlineStr">
        <is>
          <t>Zeno Debast - Belgium</t>
        </is>
      </c>
      <c r="G486" t="inlineStr">
        <is>
          <t>Base</t>
        </is>
      </c>
      <c r="I486" t="n">
        <v>0</v>
      </c>
    </row>
    <row r="487" ht="20" customHeight="1">
      <c r="A487" t="inlineStr">
        <is>
          <t>Grupo G</t>
        </is>
      </c>
      <c r="B487" t="inlineStr">
        <is>
          <t>BEL</t>
        </is>
      </c>
      <c r="C487" t="inlineStr">
        <is>
          <t>Belgium</t>
        </is>
      </c>
      <c r="D487" t="n">
        <v>6</v>
      </c>
      <c r="E487" t="inlineStr">
        <is>
          <t>BEL6</t>
        </is>
      </c>
      <c r="F487" t="inlineStr">
        <is>
          <t>Brandon Mechele - Belgium</t>
        </is>
      </c>
      <c r="G487" t="inlineStr">
        <is>
          <t>Base</t>
        </is>
      </c>
      <c r="I487" t="n">
        <v>0</v>
      </c>
    </row>
    <row r="488" ht="20" customHeight="1">
      <c r="A488" t="inlineStr">
        <is>
          <t>Grupo G</t>
        </is>
      </c>
      <c r="B488" t="inlineStr">
        <is>
          <t>BEL</t>
        </is>
      </c>
      <c r="C488" t="inlineStr">
        <is>
          <t>Belgium</t>
        </is>
      </c>
      <c r="D488" t="n">
        <v>7</v>
      </c>
      <c r="E488" t="inlineStr">
        <is>
          <t>BEL7</t>
        </is>
      </c>
      <c r="F488" t="inlineStr">
        <is>
          <t>Maxim De Cuyper - Belgium</t>
        </is>
      </c>
      <c r="G488" t="inlineStr">
        <is>
          <t>Base</t>
        </is>
      </c>
      <c r="I488" t="n">
        <v>0</v>
      </c>
    </row>
    <row r="489" ht="20" customHeight="1">
      <c r="A489" t="inlineStr">
        <is>
          <t>Grupo G</t>
        </is>
      </c>
      <c r="B489" t="inlineStr">
        <is>
          <t>BEL</t>
        </is>
      </c>
      <c r="C489" t="inlineStr">
        <is>
          <t>Belgium</t>
        </is>
      </c>
      <c r="D489" t="n">
        <v>8</v>
      </c>
      <c r="E489" t="inlineStr">
        <is>
          <t>BEL8</t>
        </is>
      </c>
      <c r="F489" t="inlineStr">
        <is>
          <t>Thomas Meunier - Belgium</t>
        </is>
      </c>
      <c r="G489" t="inlineStr">
        <is>
          <t>Base</t>
        </is>
      </c>
      <c r="I489" t="n">
        <v>0</v>
      </c>
    </row>
    <row r="490" ht="20" customHeight="1">
      <c r="A490" t="inlineStr">
        <is>
          <t>Grupo G</t>
        </is>
      </c>
      <c r="B490" t="inlineStr">
        <is>
          <t>BEL</t>
        </is>
      </c>
      <c r="C490" t="inlineStr">
        <is>
          <t>Belgium</t>
        </is>
      </c>
      <c r="D490" t="n">
        <v>9</v>
      </c>
      <c r="E490" t="inlineStr">
        <is>
          <t>BEL9</t>
        </is>
      </c>
      <c r="F490" t="inlineStr">
        <is>
          <t>Youri Tielemans - Belgium</t>
        </is>
      </c>
      <c r="G490" t="inlineStr">
        <is>
          <t>Base</t>
        </is>
      </c>
      <c r="I490" t="n">
        <v>0</v>
      </c>
    </row>
    <row r="491" ht="20" customHeight="1">
      <c r="A491" t="inlineStr">
        <is>
          <t>Grupo G</t>
        </is>
      </c>
      <c r="B491" t="inlineStr">
        <is>
          <t>BEL</t>
        </is>
      </c>
      <c r="C491" t="inlineStr">
        <is>
          <t>Belgium</t>
        </is>
      </c>
      <c r="D491" t="n">
        <v>10</v>
      </c>
      <c r="E491" t="inlineStr">
        <is>
          <t>BEL10</t>
        </is>
      </c>
      <c r="F491" t="inlineStr">
        <is>
          <t>Amadou Onana - Belgium</t>
        </is>
      </c>
      <c r="G491" t="inlineStr">
        <is>
          <t>Base</t>
        </is>
      </c>
      <c r="I491" t="n">
        <v>0</v>
      </c>
    </row>
    <row r="492" ht="20" customHeight="1">
      <c r="A492" t="inlineStr">
        <is>
          <t>Grupo G</t>
        </is>
      </c>
      <c r="B492" t="inlineStr">
        <is>
          <t>BEL</t>
        </is>
      </c>
      <c r="C492" t="inlineStr">
        <is>
          <t>Belgium</t>
        </is>
      </c>
      <c r="D492" t="n">
        <v>11</v>
      </c>
      <c r="E492" t="inlineStr">
        <is>
          <t>BEL11</t>
        </is>
      </c>
      <c r="F492" t="inlineStr">
        <is>
          <t>Nicolas Raskin - Belgium</t>
        </is>
      </c>
      <c r="G492" t="inlineStr">
        <is>
          <t>Base</t>
        </is>
      </c>
      <c r="I492" t="n">
        <v>0</v>
      </c>
    </row>
    <row r="493" ht="20" customHeight="1">
      <c r="A493" t="inlineStr">
        <is>
          <t>Grupo G</t>
        </is>
      </c>
      <c r="B493" t="inlineStr">
        <is>
          <t>BEL</t>
        </is>
      </c>
      <c r="C493" t="inlineStr">
        <is>
          <t>Belgium</t>
        </is>
      </c>
      <c r="D493" t="n">
        <v>12</v>
      </c>
      <c r="E493" t="inlineStr">
        <is>
          <t>BEL12</t>
        </is>
      </c>
      <c r="F493" t="inlineStr">
        <is>
          <t>Alexis Saelemaekers - Belgium</t>
        </is>
      </c>
      <c r="G493" t="inlineStr">
        <is>
          <t>Base</t>
        </is>
      </c>
      <c r="I493" t="n">
        <v>0</v>
      </c>
    </row>
    <row r="494" ht="20" customHeight="1">
      <c r="A494" t="inlineStr">
        <is>
          <t>Grupo G</t>
        </is>
      </c>
      <c r="B494" t="inlineStr">
        <is>
          <t>BEL</t>
        </is>
      </c>
      <c r="C494" t="inlineStr">
        <is>
          <t>Belgium</t>
        </is>
      </c>
      <c r="D494" t="n">
        <v>13</v>
      </c>
      <c r="E494" t="inlineStr">
        <is>
          <t>BEL13</t>
        </is>
      </c>
      <c r="F494" t="inlineStr">
        <is>
          <t>Team Photo - Belgium</t>
        </is>
      </c>
      <c r="G494" t="inlineStr">
        <is>
          <t>Base</t>
        </is>
      </c>
      <c r="I494" t="n">
        <v>0</v>
      </c>
    </row>
    <row r="495" ht="20" customHeight="1">
      <c r="A495" t="inlineStr">
        <is>
          <t>Grupo G</t>
        </is>
      </c>
      <c r="B495" t="inlineStr">
        <is>
          <t>BEL</t>
        </is>
      </c>
      <c r="C495" t="inlineStr">
        <is>
          <t>Belgium</t>
        </is>
      </c>
      <c r="D495" t="n">
        <v>14</v>
      </c>
      <c r="E495" t="inlineStr">
        <is>
          <t>BEL14</t>
        </is>
      </c>
      <c r="F495" t="inlineStr">
        <is>
          <t>Hans Vanaken - Belgium</t>
        </is>
      </c>
      <c r="G495" t="inlineStr">
        <is>
          <t>Base</t>
        </is>
      </c>
      <c r="I495" t="n">
        <v>0</v>
      </c>
    </row>
    <row r="496" ht="20" customHeight="1">
      <c r="A496" t="inlineStr">
        <is>
          <t>Grupo G</t>
        </is>
      </c>
      <c r="B496" t="inlineStr">
        <is>
          <t>BEL</t>
        </is>
      </c>
      <c r="C496" t="inlineStr">
        <is>
          <t>Belgium</t>
        </is>
      </c>
      <c r="D496" t="n">
        <v>15</v>
      </c>
      <c r="E496" t="inlineStr">
        <is>
          <t>BEL15</t>
        </is>
      </c>
      <c r="F496" t="inlineStr">
        <is>
          <t>Kevin De Bruyne - Belgium</t>
        </is>
      </c>
      <c r="G496" t="inlineStr">
        <is>
          <t>Base</t>
        </is>
      </c>
      <c r="I496" t="n">
        <v>0</v>
      </c>
    </row>
    <row r="497" ht="20" customHeight="1">
      <c r="A497" t="inlineStr">
        <is>
          <t>Grupo G</t>
        </is>
      </c>
      <c r="B497" t="inlineStr">
        <is>
          <t>BEL</t>
        </is>
      </c>
      <c r="C497" t="inlineStr">
        <is>
          <t>Belgium</t>
        </is>
      </c>
      <c r="D497" t="n">
        <v>16</v>
      </c>
      <c r="E497" t="inlineStr">
        <is>
          <t>BEL16</t>
        </is>
      </c>
      <c r="F497" t="inlineStr">
        <is>
          <t>Jérémy Doku - Belgium</t>
        </is>
      </c>
      <c r="G497" t="inlineStr">
        <is>
          <t>Base</t>
        </is>
      </c>
      <c r="I497" t="n">
        <v>0</v>
      </c>
    </row>
    <row r="498" ht="20" customHeight="1">
      <c r="A498" t="inlineStr">
        <is>
          <t>Grupo G</t>
        </is>
      </c>
      <c r="B498" t="inlineStr">
        <is>
          <t>BEL</t>
        </is>
      </c>
      <c r="C498" t="inlineStr">
        <is>
          <t>Belgium</t>
        </is>
      </c>
      <c r="D498" t="n">
        <v>17</v>
      </c>
      <c r="E498" t="inlineStr">
        <is>
          <t>BEL17</t>
        </is>
      </c>
      <c r="F498" t="inlineStr">
        <is>
          <t>Charles De Ketelaere - Belgium</t>
        </is>
      </c>
      <c r="G498" t="inlineStr">
        <is>
          <t>Base</t>
        </is>
      </c>
      <c r="I498" t="n">
        <v>0</v>
      </c>
    </row>
    <row r="499" ht="20" customHeight="1">
      <c r="A499" t="inlineStr">
        <is>
          <t>Grupo G</t>
        </is>
      </c>
      <c r="B499" t="inlineStr">
        <is>
          <t>BEL</t>
        </is>
      </c>
      <c r="C499" t="inlineStr">
        <is>
          <t>Belgium</t>
        </is>
      </c>
      <c r="D499" t="n">
        <v>18</v>
      </c>
      <c r="E499" t="inlineStr">
        <is>
          <t>BEL18</t>
        </is>
      </c>
      <c r="F499" t="inlineStr">
        <is>
          <t>Leandro Trossard - Belgium</t>
        </is>
      </c>
      <c r="G499" t="inlineStr">
        <is>
          <t>Base</t>
        </is>
      </c>
      <c r="I499" t="n">
        <v>0</v>
      </c>
    </row>
    <row r="500" ht="20" customHeight="1">
      <c r="A500" t="inlineStr">
        <is>
          <t>Grupo G</t>
        </is>
      </c>
      <c r="B500" t="inlineStr">
        <is>
          <t>BEL</t>
        </is>
      </c>
      <c r="C500" t="inlineStr">
        <is>
          <t>Belgium</t>
        </is>
      </c>
      <c r="D500" t="n">
        <v>19</v>
      </c>
      <c r="E500" t="inlineStr">
        <is>
          <t>BEL19</t>
        </is>
      </c>
      <c r="F500" t="inlineStr">
        <is>
          <t>Loïs Openda - Belgium</t>
        </is>
      </c>
      <c r="G500" t="inlineStr">
        <is>
          <t>Base</t>
        </is>
      </c>
      <c r="I500" t="n">
        <v>0</v>
      </c>
    </row>
    <row r="501" ht="20" customHeight="1">
      <c r="A501" t="inlineStr">
        <is>
          <t>Grupo G</t>
        </is>
      </c>
      <c r="B501" t="inlineStr">
        <is>
          <t>BEL</t>
        </is>
      </c>
      <c r="C501" t="inlineStr">
        <is>
          <t>Belgium</t>
        </is>
      </c>
      <c r="D501" t="n">
        <v>20</v>
      </c>
      <c r="E501" t="inlineStr">
        <is>
          <t>BEL20</t>
        </is>
      </c>
      <c r="F501" t="inlineStr">
        <is>
          <t>Romelu Lukaku - Belgium</t>
        </is>
      </c>
      <c r="G501" t="inlineStr">
        <is>
          <t>Base</t>
        </is>
      </c>
      <c r="I501" t="n">
        <v>0</v>
      </c>
    </row>
    <row r="502" ht="20" customHeight="1">
      <c r="A502" t="inlineStr">
        <is>
          <t>Grupo G</t>
        </is>
      </c>
      <c r="B502" t="inlineStr">
        <is>
          <t>EGY</t>
        </is>
      </c>
      <c r="C502" t="inlineStr">
        <is>
          <t>Egypt</t>
        </is>
      </c>
      <c r="D502" t="n">
        <v>1</v>
      </c>
      <c r="E502" t="inlineStr">
        <is>
          <t>EGY1</t>
        </is>
      </c>
      <c r="F502" t="inlineStr">
        <is>
          <t>Team Logo - Egypt FOIL</t>
        </is>
      </c>
      <c r="G502" t="inlineStr">
        <is>
          <t>FOIL</t>
        </is>
      </c>
      <c r="I502" t="n">
        <v>0</v>
      </c>
    </row>
    <row r="503" ht="20" customHeight="1">
      <c r="A503" t="inlineStr">
        <is>
          <t>Grupo G</t>
        </is>
      </c>
      <c r="B503" t="inlineStr">
        <is>
          <t>EGY</t>
        </is>
      </c>
      <c r="C503" t="inlineStr">
        <is>
          <t>Egypt</t>
        </is>
      </c>
      <c r="D503" t="n">
        <v>2</v>
      </c>
      <c r="E503" t="inlineStr">
        <is>
          <t>EGY2</t>
        </is>
      </c>
      <c r="F503" t="inlineStr">
        <is>
          <t>Mohamed El Shenawy - Egypt</t>
        </is>
      </c>
      <c r="G503" t="inlineStr">
        <is>
          <t>Base</t>
        </is>
      </c>
      <c r="I503" t="n">
        <v>0</v>
      </c>
    </row>
    <row r="504" ht="20" customHeight="1">
      <c r="A504" t="inlineStr">
        <is>
          <t>Grupo G</t>
        </is>
      </c>
      <c r="B504" t="inlineStr">
        <is>
          <t>EGY</t>
        </is>
      </c>
      <c r="C504" t="inlineStr">
        <is>
          <t>Egypt</t>
        </is>
      </c>
      <c r="D504" t="n">
        <v>3</v>
      </c>
      <c r="E504" t="inlineStr">
        <is>
          <t>EGY3</t>
        </is>
      </c>
      <c r="F504" t="inlineStr">
        <is>
          <t>Mohamed Hany - Egypt</t>
        </is>
      </c>
      <c r="G504" t="inlineStr">
        <is>
          <t>Base</t>
        </is>
      </c>
      <c r="I504" t="n">
        <v>0</v>
      </c>
    </row>
    <row r="505" ht="20" customHeight="1">
      <c r="A505" t="inlineStr">
        <is>
          <t>Grupo G</t>
        </is>
      </c>
      <c r="B505" t="inlineStr">
        <is>
          <t>EGY</t>
        </is>
      </c>
      <c r="C505" t="inlineStr">
        <is>
          <t>Egypt</t>
        </is>
      </c>
      <c r="D505" t="n">
        <v>4</v>
      </c>
      <c r="E505" t="inlineStr">
        <is>
          <t>EGY4</t>
        </is>
      </c>
      <c r="F505" t="inlineStr">
        <is>
          <t>Mohamed Hamdy - Egypt</t>
        </is>
      </c>
      <c r="G505" t="inlineStr">
        <is>
          <t>Base</t>
        </is>
      </c>
      <c r="I505" t="n">
        <v>0</v>
      </c>
    </row>
    <row r="506" ht="20" customHeight="1">
      <c r="A506" t="inlineStr">
        <is>
          <t>Grupo G</t>
        </is>
      </c>
      <c r="B506" t="inlineStr">
        <is>
          <t>EGY</t>
        </is>
      </c>
      <c r="C506" t="inlineStr">
        <is>
          <t>Egypt</t>
        </is>
      </c>
      <c r="D506" t="n">
        <v>5</v>
      </c>
      <c r="E506" t="inlineStr">
        <is>
          <t>EGY5</t>
        </is>
      </c>
      <c r="F506" t="inlineStr">
        <is>
          <t>Yasser Ibrahim - Egypt</t>
        </is>
      </c>
      <c r="G506" t="inlineStr">
        <is>
          <t>Base</t>
        </is>
      </c>
      <c r="I506" t="n">
        <v>0</v>
      </c>
    </row>
    <row r="507" ht="20" customHeight="1">
      <c r="A507" t="inlineStr">
        <is>
          <t>Grupo G</t>
        </is>
      </c>
      <c r="B507" t="inlineStr">
        <is>
          <t>EGY</t>
        </is>
      </c>
      <c r="C507" t="inlineStr">
        <is>
          <t>Egypt</t>
        </is>
      </c>
      <c r="D507" t="n">
        <v>6</v>
      </c>
      <c r="E507" t="inlineStr">
        <is>
          <t>EGY6</t>
        </is>
      </c>
      <c r="F507" t="inlineStr">
        <is>
          <t>Khaled Sobhi - Egypt</t>
        </is>
      </c>
      <c r="G507" t="inlineStr">
        <is>
          <t>Base</t>
        </is>
      </c>
      <c r="I507" t="n">
        <v>0</v>
      </c>
    </row>
    <row r="508" ht="20" customHeight="1">
      <c r="A508" t="inlineStr">
        <is>
          <t>Grupo G</t>
        </is>
      </c>
      <c r="B508" t="inlineStr">
        <is>
          <t>EGY</t>
        </is>
      </c>
      <c r="C508" t="inlineStr">
        <is>
          <t>Egypt</t>
        </is>
      </c>
      <c r="D508" t="n">
        <v>7</v>
      </c>
      <c r="E508" t="inlineStr">
        <is>
          <t>EGY7</t>
        </is>
      </c>
      <c r="F508" t="inlineStr">
        <is>
          <t>Ramy Rabia - Egypt</t>
        </is>
      </c>
      <c r="G508" t="inlineStr">
        <is>
          <t>Base</t>
        </is>
      </c>
      <c r="I508" t="n">
        <v>0</v>
      </c>
    </row>
    <row r="509" ht="20" customHeight="1">
      <c r="A509" t="inlineStr">
        <is>
          <t>Grupo G</t>
        </is>
      </c>
      <c r="B509" t="inlineStr">
        <is>
          <t>EGY</t>
        </is>
      </c>
      <c r="C509" t="inlineStr">
        <is>
          <t>Egypt</t>
        </is>
      </c>
      <c r="D509" t="n">
        <v>8</v>
      </c>
      <c r="E509" t="inlineStr">
        <is>
          <t>EGY8</t>
        </is>
      </c>
      <c r="F509" t="inlineStr">
        <is>
          <t>Hossam Abdelmaguid - Egypt</t>
        </is>
      </c>
      <c r="G509" t="inlineStr">
        <is>
          <t>Base</t>
        </is>
      </c>
      <c r="I509" t="n">
        <v>0</v>
      </c>
    </row>
    <row r="510" ht="20" customHeight="1">
      <c r="A510" t="inlineStr">
        <is>
          <t>Grupo G</t>
        </is>
      </c>
      <c r="B510" t="inlineStr">
        <is>
          <t>EGY</t>
        </is>
      </c>
      <c r="C510" t="inlineStr">
        <is>
          <t>Egypt</t>
        </is>
      </c>
      <c r="D510" t="n">
        <v>9</v>
      </c>
      <c r="E510" t="inlineStr">
        <is>
          <t>EGY9</t>
        </is>
      </c>
      <c r="F510" t="inlineStr">
        <is>
          <t>Ahmed Fatouh - Egypt</t>
        </is>
      </c>
      <c r="G510" t="inlineStr">
        <is>
          <t>Base</t>
        </is>
      </c>
      <c r="I510" t="n">
        <v>0</v>
      </c>
    </row>
    <row r="511" ht="20" customHeight="1">
      <c r="A511" t="inlineStr">
        <is>
          <t>Grupo G</t>
        </is>
      </c>
      <c r="B511" t="inlineStr">
        <is>
          <t>EGY</t>
        </is>
      </c>
      <c r="C511" t="inlineStr">
        <is>
          <t>Egypt</t>
        </is>
      </c>
      <c r="D511" t="n">
        <v>10</v>
      </c>
      <c r="E511" t="inlineStr">
        <is>
          <t>EGY10</t>
        </is>
      </c>
      <c r="F511" t="inlineStr">
        <is>
          <t>Marwan Attia - Egypt</t>
        </is>
      </c>
      <c r="G511" t="inlineStr">
        <is>
          <t>Base</t>
        </is>
      </c>
      <c r="I511" t="n">
        <v>0</v>
      </c>
    </row>
    <row r="512" ht="20" customHeight="1">
      <c r="A512" t="inlineStr">
        <is>
          <t>Grupo G</t>
        </is>
      </c>
      <c r="B512" t="inlineStr">
        <is>
          <t>EGY</t>
        </is>
      </c>
      <c r="C512" t="inlineStr">
        <is>
          <t>Egypt</t>
        </is>
      </c>
      <c r="D512" t="n">
        <v>11</v>
      </c>
      <c r="E512" t="inlineStr">
        <is>
          <t>EGY11</t>
        </is>
      </c>
      <c r="F512" t="inlineStr">
        <is>
          <t>Zizo - Egypt</t>
        </is>
      </c>
      <c r="G512" t="inlineStr">
        <is>
          <t>Base</t>
        </is>
      </c>
      <c r="I512" t="n">
        <v>0</v>
      </c>
    </row>
    <row r="513" ht="20" customHeight="1">
      <c r="A513" t="inlineStr">
        <is>
          <t>Grupo G</t>
        </is>
      </c>
      <c r="B513" t="inlineStr">
        <is>
          <t>EGY</t>
        </is>
      </c>
      <c r="C513" t="inlineStr">
        <is>
          <t>Egypt</t>
        </is>
      </c>
      <c r="D513" t="n">
        <v>12</v>
      </c>
      <c r="E513" t="inlineStr">
        <is>
          <t>EGY12</t>
        </is>
      </c>
      <c r="F513" t="inlineStr">
        <is>
          <t>Hamdy Fathy - Egypt</t>
        </is>
      </c>
      <c r="G513" t="inlineStr">
        <is>
          <t>Base</t>
        </is>
      </c>
      <c r="I513" t="n">
        <v>0</v>
      </c>
    </row>
    <row r="514" ht="20" customHeight="1">
      <c r="A514" t="inlineStr">
        <is>
          <t>Grupo G</t>
        </is>
      </c>
      <c r="B514" t="inlineStr">
        <is>
          <t>EGY</t>
        </is>
      </c>
      <c r="C514" t="inlineStr">
        <is>
          <t>Egypt</t>
        </is>
      </c>
      <c r="D514" t="n">
        <v>13</v>
      </c>
      <c r="E514" t="inlineStr">
        <is>
          <t>EGY13</t>
        </is>
      </c>
      <c r="F514" t="inlineStr">
        <is>
          <t>Team Photo - Egypt</t>
        </is>
      </c>
      <c r="G514" t="inlineStr">
        <is>
          <t>Base</t>
        </is>
      </c>
      <c r="I514" t="n">
        <v>0</v>
      </c>
    </row>
    <row r="515" ht="20" customHeight="1">
      <c r="A515" t="inlineStr">
        <is>
          <t>Grupo G</t>
        </is>
      </c>
      <c r="B515" t="inlineStr">
        <is>
          <t>EGY</t>
        </is>
      </c>
      <c r="C515" t="inlineStr">
        <is>
          <t>Egypt</t>
        </is>
      </c>
      <c r="D515" t="n">
        <v>14</v>
      </c>
      <c r="E515" t="inlineStr">
        <is>
          <t>EGY14</t>
        </is>
      </c>
      <c r="F515" t="inlineStr">
        <is>
          <t>Mohamed Lasheen - Egypt</t>
        </is>
      </c>
      <c r="G515" t="inlineStr">
        <is>
          <t>Base</t>
        </is>
      </c>
      <c r="I515" t="n">
        <v>0</v>
      </c>
    </row>
    <row r="516" ht="20" customHeight="1">
      <c r="A516" t="inlineStr">
        <is>
          <t>Grupo G</t>
        </is>
      </c>
      <c r="B516" t="inlineStr">
        <is>
          <t>EGY</t>
        </is>
      </c>
      <c r="C516" t="inlineStr">
        <is>
          <t>Egypt</t>
        </is>
      </c>
      <c r="D516" t="n">
        <v>15</v>
      </c>
      <c r="E516" t="inlineStr">
        <is>
          <t>EGY15</t>
        </is>
      </c>
      <c r="F516" t="inlineStr">
        <is>
          <t>Emam Ashour - Egypt</t>
        </is>
      </c>
      <c r="G516" t="inlineStr">
        <is>
          <t>Base</t>
        </is>
      </c>
      <c r="I516" t="n">
        <v>0</v>
      </c>
    </row>
    <row r="517" ht="20" customHeight="1">
      <c r="A517" t="inlineStr">
        <is>
          <t>Grupo G</t>
        </is>
      </c>
      <c r="B517" t="inlineStr">
        <is>
          <t>EGY</t>
        </is>
      </c>
      <c r="C517" t="inlineStr">
        <is>
          <t>Egypt</t>
        </is>
      </c>
      <c r="D517" t="n">
        <v>16</v>
      </c>
      <c r="E517" t="inlineStr">
        <is>
          <t>EGY16</t>
        </is>
      </c>
      <c r="F517" t="inlineStr">
        <is>
          <t>Osama Faisal - Egypt</t>
        </is>
      </c>
      <c r="G517" t="inlineStr">
        <is>
          <t>Base</t>
        </is>
      </c>
      <c r="I517" t="n">
        <v>0</v>
      </c>
    </row>
    <row r="518" ht="20" customHeight="1">
      <c r="A518" t="inlineStr">
        <is>
          <t>Grupo G</t>
        </is>
      </c>
      <c r="B518" t="inlineStr">
        <is>
          <t>EGY</t>
        </is>
      </c>
      <c r="C518" t="inlineStr">
        <is>
          <t>Egypt</t>
        </is>
      </c>
      <c r="D518" t="n">
        <v>17</v>
      </c>
      <c r="E518" t="inlineStr">
        <is>
          <t>EGY17</t>
        </is>
      </c>
      <c r="F518" t="inlineStr">
        <is>
          <t>Mohamed Salah - Egypt</t>
        </is>
      </c>
      <c r="G518" t="inlineStr">
        <is>
          <t>Base</t>
        </is>
      </c>
      <c r="I518" t="n">
        <v>0</v>
      </c>
    </row>
    <row r="519" ht="20" customHeight="1">
      <c r="A519" t="inlineStr">
        <is>
          <t>Grupo G</t>
        </is>
      </c>
      <c r="B519" t="inlineStr">
        <is>
          <t>EGY</t>
        </is>
      </c>
      <c r="C519" t="inlineStr">
        <is>
          <t>Egypt</t>
        </is>
      </c>
      <c r="D519" t="n">
        <v>18</v>
      </c>
      <c r="E519" t="inlineStr">
        <is>
          <t>EGY18</t>
        </is>
      </c>
      <c r="F519" t="inlineStr">
        <is>
          <t>Mostafa Mohamed - Egypt</t>
        </is>
      </c>
      <c r="G519" t="inlineStr">
        <is>
          <t>Base</t>
        </is>
      </c>
      <c r="I519" t="n">
        <v>0</v>
      </c>
    </row>
    <row r="520" ht="20" customHeight="1">
      <c r="A520" t="inlineStr">
        <is>
          <t>Grupo G</t>
        </is>
      </c>
      <c r="B520" t="inlineStr">
        <is>
          <t>EGY</t>
        </is>
      </c>
      <c r="C520" t="inlineStr">
        <is>
          <t>Egypt</t>
        </is>
      </c>
      <c r="D520" t="n">
        <v>19</v>
      </c>
      <c r="E520" t="inlineStr">
        <is>
          <t>EGY19</t>
        </is>
      </c>
      <c r="F520" t="inlineStr">
        <is>
          <t>Trezeguet - Egypt</t>
        </is>
      </c>
      <c r="G520" t="inlineStr">
        <is>
          <t>Base</t>
        </is>
      </c>
      <c r="I520" t="n">
        <v>0</v>
      </c>
    </row>
    <row r="521" ht="20" customHeight="1">
      <c r="A521" t="inlineStr">
        <is>
          <t>Grupo G</t>
        </is>
      </c>
      <c r="B521" t="inlineStr">
        <is>
          <t>EGY</t>
        </is>
      </c>
      <c r="C521" t="inlineStr">
        <is>
          <t>Egypt</t>
        </is>
      </c>
      <c r="D521" t="n">
        <v>20</v>
      </c>
      <c r="E521" t="inlineStr">
        <is>
          <t>EGY20</t>
        </is>
      </c>
      <c r="F521" t="inlineStr">
        <is>
          <t>Omar Marmoush - Egypt</t>
        </is>
      </c>
      <c r="G521" t="inlineStr">
        <is>
          <t>Base</t>
        </is>
      </c>
      <c r="I521" t="n">
        <v>0</v>
      </c>
    </row>
    <row r="522" ht="20" customHeight="1">
      <c r="A522" t="inlineStr">
        <is>
          <t>Grupo G</t>
        </is>
      </c>
      <c r="B522" t="inlineStr">
        <is>
          <t>IRN</t>
        </is>
      </c>
      <c r="C522" t="inlineStr">
        <is>
          <t>Iran</t>
        </is>
      </c>
      <c r="D522" t="n">
        <v>1</v>
      </c>
      <c r="E522" t="inlineStr">
        <is>
          <t>IRN1</t>
        </is>
      </c>
      <c r="F522" t="inlineStr">
        <is>
          <t>Team Logo - Iran FOIL</t>
        </is>
      </c>
      <c r="G522" t="inlineStr">
        <is>
          <t>FOIL</t>
        </is>
      </c>
      <c r="I522" t="n">
        <v>0</v>
      </c>
    </row>
    <row r="523" ht="20" customHeight="1">
      <c r="A523" t="inlineStr">
        <is>
          <t>Grupo G</t>
        </is>
      </c>
      <c r="B523" t="inlineStr">
        <is>
          <t>IRN</t>
        </is>
      </c>
      <c r="C523" t="inlineStr">
        <is>
          <t>Iran</t>
        </is>
      </c>
      <c r="D523" t="n">
        <v>2</v>
      </c>
      <c r="E523" t="inlineStr">
        <is>
          <t>IRN2</t>
        </is>
      </c>
      <c r="F523" t="inlineStr">
        <is>
          <t>Alireza Beiranvand - Iran</t>
        </is>
      </c>
      <c r="G523" t="inlineStr">
        <is>
          <t>Base</t>
        </is>
      </c>
      <c r="I523" t="n">
        <v>0</v>
      </c>
    </row>
    <row r="524" ht="20" customHeight="1">
      <c r="A524" t="inlineStr">
        <is>
          <t>Grupo G</t>
        </is>
      </c>
      <c r="B524" t="inlineStr">
        <is>
          <t>IRN</t>
        </is>
      </c>
      <c r="C524" t="inlineStr">
        <is>
          <t>Iran</t>
        </is>
      </c>
      <c r="D524" t="n">
        <v>3</v>
      </c>
      <c r="E524" t="inlineStr">
        <is>
          <t>IRN3</t>
        </is>
      </c>
      <c r="F524" t="inlineStr">
        <is>
          <t>Morteza Pouraliganji - Iran</t>
        </is>
      </c>
      <c r="G524" t="inlineStr">
        <is>
          <t>Base</t>
        </is>
      </c>
      <c r="I524" t="n">
        <v>0</v>
      </c>
    </row>
    <row r="525" ht="20" customHeight="1">
      <c r="A525" t="inlineStr">
        <is>
          <t>Grupo G</t>
        </is>
      </c>
      <c r="B525" t="inlineStr">
        <is>
          <t>IRN</t>
        </is>
      </c>
      <c r="C525" t="inlineStr">
        <is>
          <t>Iran</t>
        </is>
      </c>
      <c r="D525" t="n">
        <v>4</v>
      </c>
      <c r="E525" t="inlineStr">
        <is>
          <t>IRN4</t>
        </is>
      </c>
      <c r="F525" t="inlineStr">
        <is>
          <t>Ehsan Hajsafi - Iran</t>
        </is>
      </c>
      <c r="G525" t="inlineStr">
        <is>
          <t>Base</t>
        </is>
      </c>
      <c r="I525" t="n">
        <v>0</v>
      </c>
    </row>
    <row r="526" ht="20" customHeight="1">
      <c r="A526" t="inlineStr">
        <is>
          <t>Grupo G</t>
        </is>
      </c>
      <c r="B526" t="inlineStr">
        <is>
          <t>IRN</t>
        </is>
      </c>
      <c r="C526" t="inlineStr">
        <is>
          <t>Iran</t>
        </is>
      </c>
      <c r="D526" t="n">
        <v>5</v>
      </c>
      <c r="E526" t="inlineStr">
        <is>
          <t>IRN5</t>
        </is>
      </c>
      <c r="F526" t="inlineStr">
        <is>
          <t>Milad Mohammadi - Iran</t>
        </is>
      </c>
      <c r="G526" t="inlineStr">
        <is>
          <t>Base</t>
        </is>
      </c>
      <c r="I526" t="n">
        <v>0</v>
      </c>
    </row>
    <row r="527" ht="20" customHeight="1">
      <c r="A527" t="inlineStr">
        <is>
          <t>Grupo G</t>
        </is>
      </c>
      <c r="B527" t="inlineStr">
        <is>
          <t>IRN</t>
        </is>
      </c>
      <c r="C527" t="inlineStr">
        <is>
          <t>Iran</t>
        </is>
      </c>
      <c r="D527" t="n">
        <v>6</v>
      </c>
      <c r="E527" t="inlineStr">
        <is>
          <t>IRN6</t>
        </is>
      </c>
      <c r="F527" t="inlineStr">
        <is>
          <t>Shojae Khalilzadeh - Iran</t>
        </is>
      </c>
      <c r="G527" t="inlineStr">
        <is>
          <t>Base</t>
        </is>
      </c>
      <c r="I527" t="n">
        <v>0</v>
      </c>
    </row>
    <row r="528" ht="20" customHeight="1">
      <c r="A528" t="inlineStr">
        <is>
          <t>Grupo G</t>
        </is>
      </c>
      <c r="B528" t="inlineStr">
        <is>
          <t>IRN</t>
        </is>
      </c>
      <c r="C528" t="inlineStr">
        <is>
          <t>Iran</t>
        </is>
      </c>
      <c r="D528" t="n">
        <v>7</v>
      </c>
      <c r="E528" t="inlineStr">
        <is>
          <t>IRN7</t>
        </is>
      </c>
      <c r="F528" t="inlineStr">
        <is>
          <t>Ramin Rezaeian - Iran</t>
        </is>
      </c>
      <c r="G528" t="inlineStr">
        <is>
          <t>Base</t>
        </is>
      </c>
      <c r="I528" t="n">
        <v>0</v>
      </c>
    </row>
    <row r="529" ht="20" customHeight="1">
      <c r="A529" t="inlineStr">
        <is>
          <t>Grupo G</t>
        </is>
      </c>
      <c r="B529" t="inlineStr">
        <is>
          <t>IRN</t>
        </is>
      </c>
      <c r="C529" t="inlineStr">
        <is>
          <t>Iran</t>
        </is>
      </c>
      <c r="D529" t="n">
        <v>8</v>
      </c>
      <c r="E529" t="inlineStr">
        <is>
          <t>IRN8</t>
        </is>
      </c>
      <c r="F529" t="inlineStr">
        <is>
          <t>Hossein Kanaani - Iran</t>
        </is>
      </c>
      <c r="G529" t="inlineStr">
        <is>
          <t>Base</t>
        </is>
      </c>
      <c r="I529" t="n">
        <v>0</v>
      </c>
    </row>
    <row r="530" ht="20" customHeight="1">
      <c r="A530" t="inlineStr">
        <is>
          <t>Grupo G</t>
        </is>
      </c>
      <c r="B530" t="inlineStr">
        <is>
          <t>IRN</t>
        </is>
      </c>
      <c r="C530" t="inlineStr">
        <is>
          <t>Iran</t>
        </is>
      </c>
      <c r="D530" t="n">
        <v>9</v>
      </c>
      <c r="E530" t="inlineStr">
        <is>
          <t>IRN9</t>
        </is>
      </c>
      <c r="F530" t="inlineStr">
        <is>
          <t>Sadegh Moharrami - Iran</t>
        </is>
      </c>
      <c r="G530" t="inlineStr">
        <is>
          <t>Base</t>
        </is>
      </c>
      <c r="I530" t="n">
        <v>0</v>
      </c>
    </row>
    <row r="531" ht="20" customHeight="1">
      <c r="A531" t="inlineStr">
        <is>
          <t>Grupo G</t>
        </is>
      </c>
      <c r="B531" t="inlineStr">
        <is>
          <t>IRN</t>
        </is>
      </c>
      <c r="C531" t="inlineStr">
        <is>
          <t>Iran</t>
        </is>
      </c>
      <c r="D531" t="n">
        <v>10</v>
      </c>
      <c r="E531" t="inlineStr">
        <is>
          <t>IRN10</t>
        </is>
      </c>
      <c r="F531" t="inlineStr">
        <is>
          <t>Saleh Hardani - Iran</t>
        </is>
      </c>
      <c r="G531" t="inlineStr">
        <is>
          <t>Base</t>
        </is>
      </c>
      <c r="I531" t="n">
        <v>0</v>
      </c>
    </row>
    <row r="532" ht="20" customHeight="1">
      <c r="A532" t="inlineStr">
        <is>
          <t>Grupo G</t>
        </is>
      </c>
      <c r="B532" t="inlineStr">
        <is>
          <t>IRN</t>
        </is>
      </c>
      <c r="C532" t="inlineStr">
        <is>
          <t>Iran</t>
        </is>
      </c>
      <c r="D532" t="n">
        <v>11</v>
      </c>
      <c r="E532" t="inlineStr">
        <is>
          <t>IRN11</t>
        </is>
      </c>
      <c r="F532" t="inlineStr">
        <is>
          <t>Saeed Ezatolahi - Iran</t>
        </is>
      </c>
      <c r="G532" t="inlineStr">
        <is>
          <t>Base</t>
        </is>
      </c>
      <c r="I532" t="n">
        <v>0</v>
      </c>
    </row>
    <row r="533" ht="20" customHeight="1">
      <c r="A533" t="inlineStr">
        <is>
          <t>Grupo G</t>
        </is>
      </c>
      <c r="B533" t="inlineStr">
        <is>
          <t>IRN</t>
        </is>
      </c>
      <c r="C533" t="inlineStr">
        <is>
          <t>Iran</t>
        </is>
      </c>
      <c r="D533" t="n">
        <v>12</v>
      </c>
      <c r="E533" t="inlineStr">
        <is>
          <t>IRN12</t>
        </is>
      </c>
      <c r="F533" t="inlineStr">
        <is>
          <t>Saman Ghoddos - Iran</t>
        </is>
      </c>
      <c r="G533" t="inlineStr">
        <is>
          <t>Base</t>
        </is>
      </c>
      <c r="I533" t="n">
        <v>0</v>
      </c>
    </row>
    <row r="534" ht="20" customHeight="1">
      <c r="A534" t="inlineStr">
        <is>
          <t>Grupo G</t>
        </is>
      </c>
      <c r="B534" t="inlineStr">
        <is>
          <t>IRN</t>
        </is>
      </c>
      <c r="C534" t="inlineStr">
        <is>
          <t>Iran</t>
        </is>
      </c>
      <c r="D534" t="n">
        <v>13</v>
      </c>
      <c r="E534" t="inlineStr">
        <is>
          <t>IRN13</t>
        </is>
      </c>
      <c r="F534" t="inlineStr">
        <is>
          <t>Team Photo - Iran</t>
        </is>
      </c>
      <c r="G534" t="inlineStr">
        <is>
          <t>Base</t>
        </is>
      </c>
      <c r="I534" t="n">
        <v>0</v>
      </c>
    </row>
    <row r="535" ht="20" customHeight="1">
      <c r="A535" t="inlineStr">
        <is>
          <t>Grupo G</t>
        </is>
      </c>
      <c r="B535" t="inlineStr">
        <is>
          <t>IRN</t>
        </is>
      </c>
      <c r="C535" t="inlineStr">
        <is>
          <t>Iran</t>
        </is>
      </c>
      <c r="D535" t="n">
        <v>14</v>
      </c>
      <c r="E535" t="inlineStr">
        <is>
          <t>IRN14</t>
        </is>
      </c>
      <c r="F535" t="inlineStr">
        <is>
          <t>Omid Noorafkan - Iran</t>
        </is>
      </c>
      <c r="G535" t="inlineStr">
        <is>
          <t>Base</t>
        </is>
      </c>
      <c r="I535" t="n">
        <v>0</v>
      </c>
    </row>
    <row r="536" ht="20" customHeight="1">
      <c r="A536" t="inlineStr">
        <is>
          <t>Grupo G</t>
        </is>
      </c>
      <c r="B536" t="inlineStr">
        <is>
          <t>IRN</t>
        </is>
      </c>
      <c r="C536" t="inlineStr">
        <is>
          <t>Iran</t>
        </is>
      </c>
      <c r="D536" t="n">
        <v>15</v>
      </c>
      <c r="E536" t="inlineStr">
        <is>
          <t>IRN15</t>
        </is>
      </c>
      <c r="F536" t="inlineStr">
        <is>
          <t>Roozbeh Cheshmi - Iran</t>
        </is>
      </c>
      <c r="G536" t="inlineStr">
        <is>
          <t>Base</t>
        </is>
      </c>
      <c r="I536" t="n">
        <v>0</v>
      </c>
    </row>
    <row r="537" ht="20" customHeight="1">
      <c r="A537" t="inlineStr">
        <is>
          <t>Grupo G</t>
        </is>
      </c>
      <c r="B537" t="inlineStr">
        <is>
          <t>IRN</t>
        </is>
      </c>
      <c r="C537" t="inlineStr">
        <is>
          <t>Iran</t>
        </is>
      </c>
      <c r="D537" t="n">
        <v>16</v>
      </c>
      <c r="E537" t="inlineStr">
        <is>
          <t>IRN16</t>
        </is>
      </c>
      <c r="F537" t="inlineStr">
        <is>
          <t>Mohammad Mohebi - Iran</t>
        </is>
      </c>
      <c r="G537" t="inlineStr">
        <is>
          <t>Base</t>
        </is>
      </c>
      <c r="I537" t="n">
        <v>0</v>
      </c>
    </row>
    <row r="538" ht="20" customHeight="1">
      <c r="A538" t="inlineStr">
        <is>
          <t>Grupo G</t>
        </is>
      </c>
      <c r="B538" t="inlineStr">
        <is>
          <t>IRN</t>
        </is>
      </c>
      <c r="C538" t="inlineStr">
        <is>
          <t>Iran</t>
        </is>
      </c>
      <c r="D538" t="n">
        <v>17</v>
      </c>
      <c r="E538" t="inlineStr">
        <is>
          <t>IRN17</t>
        </is>
      </c>
      <c r="F538" t="inlineStr">
        <is>
          <t>Sardar Azmoun - Iran</t>
        </is>
      </c>
      <c r="G538" t="inlineStr">
        <is>
          <t>Base</t>
        </is>
      </c>
      <c r="I538" t="n">
        <v>0</v>
      </c>
    </row>
    <row r="539" ht="20" customHeight="1">
      <c r="A539" t="inlineStr">
        <is>
          <t>Grupo G</t>
        </is>
      </c>
      <c r="B539" t="inlineStr">
        <is>
          <t>IRN</t>
        </is>
      </c>
      <c r="C539" t="inlineStr">
        <is>
          <t>Iran</t>
        </is>
      </c>
      <c r="D539" t="n">
        <v>18</v>
      </c>
      <c r="E539" t="inlineStr">
        <is>
          <t>IRN18</t>
        </is>
      </c>
      <c r="F539" t="inlineStr">
        <is>
          <t>Mehdi Taremi - Iran</t>
        </is>
      </c>
      <c r="G539" t="inlineStr">
        <is>
          <t>Base</t>
        </is>
      </c>
      <c r="I539" t="n">
        <v>0</v>
      </c>
    </row>
    <row r="540" ht="20" customHeight="1">
      <c r="A540" t="inlineStr">
        <is>
          <t>Grupo G</t>
        </is>
      </c>
      <c r="B540" t="inlineStr">
        <is>
          <t>IRN</t>
        </is>
      </c>
      <c r="C540" t="inlineStr">
        <is>
          <t>Iran</t>
        </is>
      </c>
      <c r="D540" t="n">
        <v>19</v>
      </c>
      <c r="E540" t="inlineStr">
        <is>
          <t>IRN19</t>
        </is>
      </c>
      <c r="F540" t="inlineStr">
        <is>
          <t>Alireza Jahanbakhsh - Iran</t>
        </is>
      </c>
      <c r="G540" t="inlineStr">
        <is>
          <t>Base</t>
        </is>
      </c>
      <c r="I540" t="n">
        <v>0</v>
      </c>
    </row>
    <row r="541" ht="20" customHeight="1">
      <c r="A541" t="inlineStr">
        <is>
          <t>Grupo G</t>
        </is>
      </c>
      <c r="B541" t="inlineStr">
        <is>
          <t>IRN</t>
        </is>
      </c>
      <c r="C541" t="inlineStr">
        <is>
          <t>Iran</t>
        </is>
      </c>
      <c r="D541" t="n">
        <v>20</v>
      </c>
      <c r="E541" t="inlineStr">
        <is>
          <t>IRN20</t>
        </is>
      </c>
      <c r="F541" t="inlineStr">
        <is>
          <t>Ali Gholizadeh - Iran</t>
        </is>
      </c>
      <c r="G541" t="inlineStr">
        <is>
          <t>Base</t>
        </is>
      </c>
      <c r="I541" t="n">
        <v>0</v>
      </c>
    </row>
    <row r="542" ht="20" customHeight="1">
      <c r="A542" t="inlineStr">
        <is>
          <t>Grupo G</t>
        </is>
      </c>
      <c r="B542" t="inlineStr">
        <is>
          <t>NZL</t>
        </is>
      </c>
      <c r="C542" t="inlineStr">
        <is>
          <t>New Zealand</t>
        </is>
      </c>
      <c r="D542" t="n">
        <v>1</v>
      </c>
      <c r="E542" t="inlineStr">
        <is>
          <t>NZL1</t>
        </is>
      </c>
      <c r="F542" t="inlineStr">
        <is>
          <t>Team Logo - New Zealand FOIL</t>
        </is>
      </c>
      <c r="G542" t="inlineStr">
        <is>
          <t>FOIL</t>
        </is>
      </c>
      <c r="I542" t="n">
        <v>0</v>
      </c>
    </row>
    <row r="543" ht="20" customHeight="1">
      <c r="A543" t="inlineStr">
        <is>
          <t>Grupo G</t>
        </is>
      </c>
      <c r="B543" t="inlineStr">
        <is>
          <t>NZL</t>
        </is>
      </c>
      <c r="C543" t="inlineStr">
        <is>
          <t>New Zealand</t>
        </is>
      </c>
      <c r="D543" t="n">
        <v>2</v>
      </c>
      <c r="E543" t="inlineStr">
        <is>
          <t>NZL2</t>
        </is>
      </c>
      <c r="F543" t="inlineStr">
        <is>
          <t>Max Crocombe Payne - New Zealand</t>
        </is>
      </c>
      <c r="G543" t="inlineStr">
        <is>
          <t>Base</t>
        </is>
      </c>
      <c r="I543" t="n">
        <v>0</v>
      </c>
    </row>
    <row r="544" ht="20" customHeight="1">
      <c r="A544" t="inlineStr">
        <is>
          <t>Grupo G</t>
        </is>
      </c>
      <c r="B544" t="inlineStr">
        <is>
          <t>NZL</t>
        </is>
      </c>
      <c r="C544" t="inlineStr">
        <is>
          <t>New Zealand</t>
        </is>
      </c>
      <c r="D544" t="n">
        <v>3</v>
      </c>
      <c r="E544" t="inlineStr">
        <is>
          <t>NZL3</t>
        </is>
      </c>
      <c r="F544" t="inlineStr">
        <is>
          <t>Alex Paulsen - New Zealand</t>
        </is>
      </c>
      <c r="G544" t="inlineStr">
        <is>
          <t>Base</t>
        </is>
      </c>
      <c r="I544" t="n">
        <v>0</v>
      </c>
    </row>
    <row r="545" ht="20" customHeight="1">
      <c r="A545" t="inlineStr">
        <is>
          <t>Grupo G</t>
        </is>
      </c>
      <c r="B545" t="inlineStr">
        <is>
          <t>NZL</t>
        </is>
      </c>
      <c r="C545" t="inlineStr">
        <is>
          <t>New Zealand</t>
        </is>
      </c>
      <c r="D545" t="n">
        <v>4</v>
      </c>
      <c r="E545" t="inlineStr">
        <is>
          <t>NZL4</t>
        </is>
      </c>
      <c r="F545" t="inlineStr">
        <is>
          <t>Michael Boxall - New Zealand</t>
        </is>
      </c>
      <c r="G545" t="inlineStr">
        <is>
          <t>Base</t>
        </is>
      </c>
      <c r="I545" t="n">
        <v>0</v>
      </c>
    </row>
    <row r="546" ht="20" customHeight="1">
      <c r="A546" t="inlineStr">
        <is>
          <t>Grupo G</t>
        </is>
      </c>
      <c r="B546" t="inlineStr">
        <is>
          <t>NZL</t>
        </is>
      </c>
      <c r="C546" t="inlineStr">
        <is>
          <t>New Zealand</t>
        </is>
      </c>
      <c r="D546" t="n">
        <v>5</v>
      </c>
      <c r="E546" t="inlineStr">
        <is>
          <t>NZL5</t>
        </is>
      </c>
      <c r="F546" t="inlineStr">
        <is>
          <t>Liberato Cacace - New Zealand</t>
        </is>
      </c>
      <c r="G546" t="inlineStr">
        <is>
          <t>Base</t>
        </is>
      </c>
      <c r="I546" t="n">
        <v>0</v>
      </c>
    </row>
    <row r="547" ht="20" customHeight="1">
      <c r="A547" t="inlineStr">
        <is>
          <t>Grupo G</t>
        </is>
      </c>
      <c r="B547" t="inlineStr">
        <is>
          <t>NZL</t>
        </is>
      </c>
      <c r="C547" t="inlineStr">
        <is>
          <t>New Zealand</t>
        </is>
      </c>
      <c r="D547" t="n">
        <v>6</v>
      </c>
      <c r="E547" t="inlineStr">
        <is>
          <t>NZL6</t>
        </is>
      </c>
      <c r="F547" t="inlineStr">
        <is>
          <t>Tim Payne - New Zealand</t>
        </is>
      </c>
      <c r="G547" t="inlineStr">
        <is>
          <t>Base</t>
        </is>
      </c>
      <c r="I547" t="n">
        <v>0</v>
      </c>
    </row>
    <row r="548" ht="20" customHeight="1">
      <c r="A548" t="inlineStr">
        <is>
          <t>Grupo G</t>
        </is>
      </c>
      <c r="B548" t="inlineStr">
        <is>
          <t>NZL</t>
        </is>
      </c>
      <c r="C548" t="inlineStr">
        <is>
          <t>New Zealand</t>
        </is>
      </c>
      <c r="D548" t="n">
        <v>7</v>
      </c>
      <c r="E548" t="inlineStr">
        <is>
          <t>NZL7</t>
        </is>
      </c>
      <c r="F548" t="inlineStr">
        <is>
          <t>Tyler Bindon - New Zealand</t>
        </is>
      </c>
      <c r="G548" t="inlineStr">
        <is>
          <t>Base</t>
        </is>
      </c>
      <c r="I548" t="n">
        <v>0</v>
      </c>
    </row>
    <row r="549" ht="20" customHeight="1">
      <c r="A549" t="inlineStr">
        <is>
          <t>Grupo G</t>
        </is>
      </c>
      <c r="B549" t="inlineStr">
        <is>
          <t>NZL</t>
        </is>
      </c>
      <c r="C549" t="inlineStr">
        <is>
          <t>New Zealand</t>
        </is>
      </c>
      <c r="D549" t="n">
        <v>8</v>
      </c>
      <c r="E549" t="inlineStr">
        <is>
          <t>NZL8</t>
        </is>
      </c>
      <c r="F549" t="inlineStr">
        <is>
          <t>Francis de Vries - New Zealand</t>
        </is>
      </c>
      <c r="G549" t="inlineStr">
        <is>
          <t>Base</t>
        </is>
      </c>
      <c r="I549" t="n">
        <v>0</v>
      </c>
    </row>
    <row r="550" ht="20" customHeight="1">
      <c r="A550" t="inlineStr">
        <is>
          <t>Grupo G</t>
        </is>
      </c>
      <c r="B550" t="inlineStr">
        <is>
          <t>NZL</t>
        </is>
      </c>
      <c r="C550" t="inlineStr">
        <is>
          <t>New Zealand</t>
        </is>
      </c>
      <c r="D550" t="n">
        <v>9</v>
      </c>
      <c r="E550" t="inlineStr">
        <is>
          <t>NZL9</t>
        </is>
      </c>
      <c r="F550" t="inlineStr">
        <is>
          <t>Finn Surman - New Zealand</t>
        </is>
      </c>
      <c r="G550" t="inlineStr">
        <is>
          <t>Base</t>
        </is>
      </c>
      <c r="I550" t="n">
        <v>0</v>
      </c>
    </row>
    <row r="551" ht="20" customHeight="1">
      <c r="A551" t="inlineStr">
        <is>
          <t>Grupo G</t>
        </is>
      </c>
      <c r="B551" t="inlineStr">
        <is>
          <t>NZL</t>
        </is>
      </c>
      <c r="C551" t="inlineStr">
        <is>
          <t>New Zealand</t>
        </is>
      </c>
      <c r="D551" t="n">
        <v>10</v>
      </c>
      <c r="E551" t="inlineStr">
        <is>
          <t>NZL10</t>
        </is>
      </c>
      <c r="F551" t="inlineStr">
        <is>
          <t>Joe Bell - New Zealand</t>
        </is>
      </c>
      <c r="G551" t="inlineStr">
        <is>
          <t>Base</t>
        </is>
      </c>
      <c r="I551" t="n">
        <v>0</v>
      </c>
    </row>
    <row r="552" ht="20" customHeight="1">
      <c r="A552" t="inlineStr">
        <is>
          <t>Grupo G</t>
        </is>
      </c>
      <c r="B552" t="inlineStr">
        <is>
          <t>NZL</t>
        </is>
      </c>
      <c r="C552" t="inlineStr">
        <is>
          <t>New Zealand</t>
        </is>
      </c>
      <c r="D552" t="n">
        <v>11</v>
      </c>
      <c r="E552" t="inlineStr">
        <is>
          <t>NZL11</t>
        </is>
      </c>
      <c r="F552" t="inlineStr">
        <is>
          <t>Sarpreet Singh - New Zealand</t>
        </is>
      </c>
      <c r="G552" t="inlineStr">
        <is>
          <t>Base</t>
        </is>
      </c>
      <c r="I552" t="n">
        <v>0</v>
      </c>
    </row>
    <row r="553" ht="20" customHeight="1">
      <c r="A553" t="inlineStr">
        <is>
          <t>Grupo G</t>
        </is>
      </c>
      <c r="B553" t="inlineStr">
        <is>
          <t>NZL</t>
        </is>
      </c>
      <c r="C553" t="inlineStr">
        <is>
          <t>New Zealand</t>
        </is>
      </c>
      <c r="D553" t="n">
        <v>12</v>
      </c>
      <c r="E553" t="inlineStr">
        <is>
          <t>NZL12</t>
        </is>
      </c>
      <c r="F553" t="inlineStr">
        <is>
          <t>Ryan Thomas - New Zealand</t>
        </is>
      </c>
      <c r="G553" t="inlineStr">
        <is>
          <t>Base</t>
        </is>
      </c>
      <c r="I553" t="n">
        <v>0</v>
      </c>
    </row>
    <row r="554" ht="20" customHeight="1">
      <c r="A554" t="inlineStr">
        <is>
          <t>Grupo G</t>
        </is>
      </c>
      <c r="B554" t="inlineStr">
        <is>
          <t>NZL</t>
        </is>
      </c>
      <c r="C554" t="inlineStr">
        <is>
          <t>New Zealand</t>
        </is>
      </c>
      <c r="D554" t="n">
        <v>13</v>
      </c>
      <c r="E554" t="inlineStr">
        <is>
          <t>NZL13</t>
        </is>
      </c>
      <c r="F554" t="inlineStr">
        <is>
          <t>Team Photo - New Zealand</t>
        </is>
      </c>
      <c r="G554" t="inlineStr">
        <is>
          <t>Base</t>
        </is>
      </c>
      <c r="I554" t="n">
        <v>0</v>
      </c>
    </row>
    <row r="555" ht="20" customHeight="1">
      <c r="A555" t="inlineStr">
        <is>
          <t>Grupo G</t>
        </is>
      </c>
      <c r="B555" t="inlineStr">
        <is>
          <t>NZL</t>
        </is>
      </c>
      <c r="C555" t="inlineStr">
        <is>
          <t>New Zealand</t>
        </is>
      </c>
      <c r="D555" t="n">
        <v>14</v>
      </c>
      <c r="E555" t="inlineStr">
        <is>
          <t>NZL14</t>
        </is>
      </c>
      <c r="F555" t="inlineStr">
        <is>
          <t>Matthew Garbett - New Zealand</t>
        </is>
      </c>
      <c r="G555" t="inlineStr">
        <is>
          <t>Base</t>
        </is>
      </c>
      <c r="I555" t="n">
        <v>0</v>
      </c>
    </row>
    <row r="556" ht="20" customHeight="1">
      <c r="A556" t="inlineStr">
        <is>
          <t>Grupo G</t>
        </is>
      </c>
      <c r="B556" t="inlineStr">
        <is>
          <t>NZL</t>
        </is>
      </c>
      <c r="C556" t="inlineStr">
        <is>
          <t>New Zealand</t>
        </is>
      </c>
      <c r="D556" t="n">
        <v>15</v>
      </c>
      <c r="E556" t="inlineStr">
        <is>
          <t>NZL15</t>
        </is>
      </c>
      <c r="F556" t="inlineStr">
        <is>
          <t>Marko Stamenić - New Zealand</t>
        </is>
      </c>
      <c r="G556" t="inlineStr">
        <is>
          <t>Base</t>
        </is>
      </c>
      <c r="I556" t="n">
        <v>0</v>
      </c>
    </row>
    <row r="557" ht="20" customHeight="1">
      <c r="A557" t="inlineStr">
        <is>
          <t>Grupo G</t>
        </is>
      </c>
      <c r="B557" t="inlineStr">
        <is>
          <t>NZL</t>
        </is>
      </c>
      <c r="C557" t="inlineStr">
        <is>
          <t>New Zealand</t>
        </is>
      </c>
      <c r="D557" t="n">
        <v>16</v>
      </c>
      <c r="E557" t="inlineStr">
        <is>
          <t>NZL16</t>
        </is>
      </c>
      <c r="F557" t="inlineStr">
        <is>
          <t>Ben Old - New Zealand</t>
        </is>
      </c>
      <c r="G557" t="inlineStr">
        <is>
          <t>Base</t>
        </is>
      </c>
      <c r="I557" t="n">
        <v>0</v>
      </c>
    </row>
    <row r="558" ht="20" customHeight="1">
      <c r="A558" t="inlineStr">
        <is>
          <t>Grupo G</t>
        </is>
      </c>
      <c r="B558" t="inlineStr">
        <is>
          <t>NZL</t>
        </is>
      </c>
      <c r="C558" t="inlineStr">
        <is>
          <t>New Zealand</t>
        </is>
      </c>
      <c r="D558" t="n">
        <v>17</v>
      </c>
      <c r="E558" t="inlineStr">
        <is>
          <t>NZL17</t>
        </is>
      </c>
      <c r="F558" t="inlineStr">
        <is>
          <t>Chris Wood - New Zealand</t>
        </is>
      </c>
      <c r="G558" t="inlineStr">
        <is>
          <t>Base</t>
        </is>
      </c>
      <c r="I558" t="n">
        <v>0</v>
      </c>
    </row>
    <row r="559" ht="20" customHeight="1">
      <c r="A559" t="inlineStr">
        <is>
          <t>Grupo G</t>
        </is>
      </c>
      <c r="B559" t="inlineStr">
        <is>
          <t>NZL</t>
        </is>
      </c>
      <c r="C559" t="inlineStr">
        <is>
          <t>New Zealand</t>
        </is>
      </c>
      <c r="D559" t="n">
        <v>18</v>
      </c>
      <c r="E559" t="inlineStr">
        <is>
          <t>NZL18</t>
        </is>
      </c>
      <c r="F559" t="inlineStr">
        <is>
          <t>Elijah Just - New Zealand</t>
        </is>
      </c>
      <c r="G559" t="inlineStr">
        <is>
          <t>Base</t>
        </is>
      </c>
      <c r="I559" t="n">
        <v>0</v>
      </c>
    </row>
    <row r="560" ht="20" customHeight="1">
      <c r="A560" t="inlineStr">
        <is>
          <t>Grupo G</t>
        </is>
      </c>
      <c r="B560" t="inlineStr">
        <is>
          <t>NZL</t>
        </is>
      </c>
      <c r="C560" t="inlineStr">
        <is>
          <t>New Zealand</t>
        </is>
      </c>
      <c r="D560" t="n">
        <v>19</v>
      </c>
      <c r="E560" t="inlineStr">
        <is>
          <t>NZL19</t>
        </is>
      </c>
      <c r="F560" t="inlineStr">
        <is>
          <t>Callum McCowatt - New Zealand</t>
        </is>
      </c>
      <c r="G560" t="inlineStr">
        <is>
          <t>Base</t>
        </is>
      </c>
      <c r="I560" t="n">
        <v>0</v>
      </c>
    </row>
    <row r="561" ht="20" customHeight="1">
      <c r="A561" t="inlineStr">
        <is>
          <t>Grupo G</t>
        </is>
      </c>
      <c r="B561" t="inlineStr">
        <is>
          <t>NZL</t>
        </is>
      </c>
      <c r="C561" t="inlineStr">
        <is>
          <t>New Zealand</t>
        </is>
      </c>
      <c r="D561" t="n">
        <v>20</v>
      </c>
      <c r="E561" t="inlineStr">
        <is>
          <t>NZL20</t>
        </is>
      </c>
      <c r="F561" t="inlineStr">
        <is>
          <t>Kosta Barbarouses - New Zealand</t>
        </is>
      </c>
      <c r="G561" t="inlineStr">
        <is>
          <t>Base</t>
        </is>
      </c>
      <c r="I561" t="n">
        <v>0</v>
      </c>
    </row>
    <row r="562" ht="20" customHeight="1">
      <c r="A562" t="inlineStr">
        <is>
          <t>Grupo H</t>
        </is>
      </c>
      <c r="B562" t="inlineStr">
        <is>
          <t>ESP</t>
        </is>
      </c>
      <c r="C562" t="inlineStr">
        <is>
          <t>Spain</t>
        </is>
      </c>
      <c r="D562" t="n">
        <v>1</v>
      </c>
      <c r="E562" t="inlineStr">
        <is>
          <t>ESP1</t>
        </is>
      </c>
      <c r="F562" t="inlineStr">
        <is>
          <t>Team Logo - Spain FOIL</t>
        </is>
      </c>
      <c r="G562" t="inlineStr">
        <is>
          <t>FOIL</t>
        </is>
      </c>
      <c r="I562" t="n">
        <v>0</v>
      </c>
    </row>
    <row r="563" ht="20" customHeight="1">
      <c r="A563" t="inlineStr">
        <is>
          <t>Grupo H</t>
        </is>
      </c>
      <c r="B563" t="inlineStr">
        <is>
          <t>ESP</t>
        </is>
      </c>
      <c r="C563" t="inlineStr">
        <is>
          <t>Spain</t>
        </is>
      </c>
      <c r="D563" t="n">
        <v>2</v>
      </c>
      <c r="E563" t="inlineStr">
        <is>
          <t>ESP2</t>
        </is>
      </c>
      <c r="F563" t="inlineStr">
        <is>
          <t>Unai Simon - Spain</t>
        </is>
      </c>
      <c r="G563" t="inlineStr">
        <is>
          <t>Base</t>
        </is>
      </c>
      <c r="I563" t="n">
        <v>0</v>
      </c>
    </row>
    <row r="564" ht="20" customHeight="1">
      <c r="A564" t="inlineStr">
        <is>
          <t>Grupo H</t>
        </is>
      </c>
      <c r="B564" t="inlineStr">
        <is>
          <t>ESP</t>
        </is>
      </c>
      <c r="C564" t="inlineStr">
        <is>
          <t>Spain</t>
        </is>
      </c>
      <c r="D564" t="n">
        <v>3</v>
      </c>
      <c r="E564" t="inlineStr">
        <is>
          <t>ESP3</t>
        </is>
      </c>
      <c r="F564" t="inlineStr">
        <is>
          <t>Robin Le Normand - Spain</t>
        </is>
      </c>
      <c r="G564" t="inlineStr">
        <is>
          <t>Base</t>
        </is>
      </c>
      <c r="I564" t="n">
        <v>0</v>
      </c>
    </row>
    <row r="565" ht="20" customHeight="1">
      <c r="A565" t="inlineStr">
        <is>
          <t>Grupo H</t>
        </is>
      </c>
      <c r="B565" t="inlineStr">
        <is>
          <t>ESP</t>
        </is>
      </c>
      <c r="C565" t="inlineStr">
        <is>
          <t>Spain</t>
        </is>
      </c>
      <c r="D565" t="n">
        <v>4</v>
      </c>
      <c r="E565" t="inlineStr">
        <is>
          <t>ESP4</t>
        </is>
      </c>
      <c r="F565" t="inlineStr">
        <is>
          <t>Aymeric Laporte - Spain</t>
        </is>
      </c>
      <c r="G565" t="inlineStr">
        <is>
          <t>Base</t>
        </is>
      </c>
      <c r="I565" t="n">
        <v>0</v>
      </c>
    </row>
    <row r="566" ht="20" customHeight="1">
      <c r="A566" t="inlineStr">
        <is>
          <t>Grupo H</t>
        </is>
      </c>
      <c r="B566" t="inlineStr">
        <is>
          <t>ESP</t>
        </is>
      </c>
      <c r="C566" t="inlineStr">
        <is>
          <t>Spain</t>
        </is>
      </c>
      <c r="D566" t="n">
        <v>5</v>
      </c>
      <c r="E566" t="inlineStr">
        <is>
          <t>ESP5</t>
        </is>
      </c>
      <c r="F566" t="inlineStr">
        <is>
          <t>Dean Huijsen - Spain</t>
        </is>
      </c>
      <c r="G566" t="inlineStr">
        <is>
          <t>Base</t>
        </is>
      </c>
      <c r="I566" t="n">
        <v>0</v>
      </c>
    </row>
    <row r="567" ht="20" customHeight="1">
      <c r="A567" t="inlineStr">
        <is>
          <t>Grupo H</t>
        </is>
      </c>
      <c r="B567" t="inlineStr">
        <is>
          <t>ESP</t>
        </is>
      </c>
      <c r="C567" t="inlineStr">
        <is>
          <t>Spain</t>
        </is>
      </c>
      <c r="D567" t="n">
        <v>6</v>
      </c>
      <c r="E567" t="inlineStr">
        <is>
          <t>ESP6</t>
        </is>
      </c>
      <c r="F567" t="inlineStr">
        <is>
          <t>Pedro Porro - Spain</t>
        </is>
      </c>
      <c r="G567" t="inlineStr">
        <is>
          <t>Base</t>
        </is>
      </c>
      <c r="I567" t="n">
        <v>0</v>
      </c>
    </row>
    <row r="568" ht="20" customHeight="1">
      <c r="A568" t="inlineStr">
        <is>
          <t>Grupo H</t>
        </is>
      </c>
      <c r="B568" t="inlineStr">
        <is>
          <t>ESP</t>
        </is>
      </c>
      <c r="C568" t="inlineStr">
        <is>
          <t>Spain</t>
        </is>
      </c>
      <c r="D568" t="n">
        <v>7</v>
      </c>
      <c r="E568" t="inlineStr">
        <is>
          <t>ESP7</t>
        </is>
      </c>
      <c r="F568" t="inlineStr">
        <is>
          <t>Dani Carvajal - Spain</t>
        </is>
      </c>
      <c r="G568" t="inlineStr">
        <is>
          <t>Base</t>
        </is>
      </c>
      <c r="I568" t="n">
        <v>0</v>
      </c>
    </row>
    <row r="569" ht="20" customHeight="1">
      <c r="A569" t="inlineStr">
        <is>
          <t>Grupo H</t>
        </is>
      </c>
      <c r="B569" t="inlineStr">
        <is>
          <t>ESP</t>
        </is>
      </c>
      <c r="C569" t="inlineStr">
        <is>
          <t>Spain</t>
        </is>
      </c>
      <c r="D569" t="n">
        <v>8</v>
      </c>
      <c r="E569" t="inlineStr">
        <is>
          <t>ESP8</t>
        </is>
      </c>
      <c r="F569" t="inlineStr">
        <is>
          <t>Marc Cucurella - Spain</t>
        </is>
      </c>
      <c r="G569" t="inlineStr">
        <is>
          <t>Base</t>
        </is>
      </c>
      <c r="I569" t="n">
        <v>0</v>
      </c>
    </row>
    <row r="570" ht="20" customHeight="1">
      <c r="A570" t="inlineStr">
        <is>
          <t>Grupo H</t>
        </is>
      </c>
      <c r="B570" t="inlineStr">
        <is>
          <t>ESP</t>
        </is>
      </c>
      <c r="C570" t="inlineStr">
        <is>
          <t>Spain</t>
        </is>
      </c>
      <c r="D570" t="n">
        <v>9</v>
      </c>
      <c r="E570" t="inlineStr">
        <is>
          <t>ESP9</t>
        </is>
      </c>
      <c r="F570" t="inlineStr">
        <is>
          <t>Martín Zubimendi - Spain</t>
        </is>
      </c>
      <c r="G570" t="inlineStr">
        <is>
          <t>Base</t>
        </is>
      </c>
      <c r="I570" t="n">
        <v>0</v>
      </c>
    </row>
    <row r="571" ht="20" customHeight="1">
      <c r="A571" t="inlineStr">
        <is>
          <t>Grupo H</t>
        </is>
      </c>
      <c r="B571" t="inlineStr">
        <is>
          <t>ESP</t>
        </is>
      </c>
      <c r="C571" t="inlineStr">
        <is>
          <t>Spain</t>
        </is>
      </c>
      <c r="D571" t="n">
        <v>10</v>
      </c>
      <c r="E571" t="inlineStr">
        <is>
          <t>ESP10</t>
        </is>
      </c>
      <c r="F571" t="inlineStr">
        <is>
          <t>Rodri - Spain</t>
        </is>
      </c>
      <c r="G571" t="inlineStr">
        <is>
          <t>Base</t>
        </is>
      </c>
      <c r="I571" t="n">
        <v>0</v>
      </c>
    </row>
    <row r="572" ht="20" customHeight="1">
      <c r="A572" t="inlineStr">
        <is>
          <t>Grupo H</t>
        </is>
      </c>
      <c r="B572" t="inlineStr">
        <is>
          <t>ESP</t>
        </is>
      </c>
      <c r="C572" t="inlineStr">
        <is>
          <t>Spain</t>
        </is>
      </c>
      <c r="D572" t="n">
        <v>11</v>
      </c>
      <c r="E572" t="inlineStr">
        <is>
          <t>ESP11</t>
        </is>
      </c>
      <c r="F572" t="inlineStr">
        <is>
          <t>Pedri - Spain</t>
        </is>
      </c>
      <c r="G572" t="inlineStr">
        <is>
          <t>Base</t>
        </is>
      </c>
      <c r="I572" t="n">
        <v>0</v>
      </c>
    </row>
    <row r="573" ht="20" customHeight="1">
      <c r="A573" t="inlineStr">
        <is>
          <t>Grupo H</t>
        </is>
      </c>
      <c r="B573" t="inlineStr">
        <is>
          <t>ESP</t>
        </is>
      </c>
      <c r="C573" t="inlineStr">
        <is>
          <t>Spain</t>
        </is>
      </c>
      <c r="D573" t="n">
        <v>12</v>
      </c>
      <c r="E573" t="inlineStr">
        <is>
          <t>ESP12</t>
        </is>
      </c>
      <c r="F573" t="inlineStr">
        <is>
          <t>Fabian Ruiz - Spain</t>
        </is>
      </c>
      <c r="G573" t="inlineStr">
        <is>
          <t>Base</t>
        </is>
      </c>
      <c r="I573" t="n">
        <v>0</v>
      </c>
    </row>
    <row r="574" ht="20" customHeight="1">
      <c r="A574" t="inlineStr">
        <is>
          <t>Grupo H</t>
        </is>
      </c>
      <c r="B574" t="inlineStr">
        <is>
          <t>ESP</t>
        </is>
      </c>
      <c r="C574" t="inlineStr">
        <is>
          <t>Spain</t>
        </is>
      </c>
      <c r="D574" t="n">
        <v>13</v>
      </c>
      <c r="E574" t="inlineStr">
        <is>
          <t>ESP13</t>
        </is>
      </c>
      <c r="F574" t="inlineStr">
        <is>
          <t>Team Photo - Spain</t>
        </is>
      </c>
      <c r="G574" t="inlineStr">
        <is>
          <t>Base</t>
        </is>
      </c>
      <c r="I574" t="n">
        <v>0</v>
      </c>
    </row>
    <row r="575" ht="20" customHeight="1">
      <c r="A575" t="inlineStr">
        <is>
          <t>Grupo H</t>
        </is>
      </c>
      <c r="B575" t="inlineStr">
        <is>
          <t>ESP</t>
        </is>
      </c>
      <c r="C575" t="inlineStr">
        <is>
          <t>Spain</t>
        </is>
      </c>
      <c r="D575" t="n">
        <v>14</v>
      </c>
      <c r="E575" t="inlineStr">
        <is>
          <t>ESP14</t>
        </is>
      </c>
      <c r="F575" t="inlineStr">
        <is>
          <t>Mikel Merino - Spain</t>
        </is>
      </c>
      <c r="G575" t="inlineStr">
        <is>
          <t>Base</t>
        </is>
      </c>
      <c r="I575" t="n">
        <v>0</v>
      </c>
    </row>
    <row r="576" ht="20" customHeight="1">
      <c r="A576" t="inlineStr">
        <is>
          <t>Grupo H</t>
        </is>
      </c>
      <c r="B576" t="inlineStr">
        <is>
          <t>ESP</t>
        </is>
      </c>
      <c r="C576" t="inlineStr">
        <is>
          <t>Spain</t>
        </is>
      </c>
      <c r="D576" t="n">
        <v>15</v>
      </c>
      <c r="E576" t="inlineStr">
        <is>
          <t>ESP15</t>
        </is>
      </c>
      <c r="F576" t="inlineStr">
        <is>
          <t>Lamine Yamal - Spain</t>
        </is>
      </c>
      <c r="G576" t="inlineStr">
        <is>
          <t>Base</t>
        </is>
      </c>
      <c r="I576" t="n">
        <v>0</v>
      </c>
    </row>
    <row r="577" ht="20" customHeight="1">
      <c r="A577" t="inlineStr">
        <is>
          <t>Grupo H</t>
        </is>
      </c>
      <c r="B577" t="inlineStr">
        <is>
          <t>ESP</t>
        </is>
      </c>
      <c r="C577" t="inlineStr">
        <is>
          <t>Spain</t>
        </is>
      </c>
      <c r="D577" t="n">
        <v>16</v>
      </c>
      <c r="E577" t="inlineStr">
        <is>
          <t>ESP16</t>
        </is>
      </c>
      <c r="F577" t="inlineStr">
        <is>
          <t>Dani Olmo - Spain</t>
        </is>
      </c>
      <c r="G577" t="inlineStr">
        <is>
          <t>Base</t>
        </is>
      </c>
      <c r="I577" t="n">
        <v>0</v>
      </c>
    </row>
    <row r="578" ht="20" customHeight="1">
      <c r="A578" t="inlineStr">
        <is>
          <t>Grupo H</t>
        </is>
      </c>
      <c r="B578" t="inlineStr">
        <is>
          <t>ESP</t>
        </is>
      </c>
      <c r="C578" t="inlineStr">
        <is>
          <t>Spain</t>
        </is>
      </c>
      <c r="D578" t="n">
        <v>17</v>
      </c>
      <c r="E578" t="inlineStr">
        <is>
          <t>ESP17</t>
        </is>
      </c>
      <c r="F578" t="inlineStr">
        <is>
          <t>Nico Williams - Spain</t>
        </is>
      </c>
      <c r="G578" t="inlineStr">
        <is>
          <t>Base</t>
        </is>
      </c>
      <c r="I578" t="n">
        <v>0</v>
      </c>
    </row>
    <row r="579" ht="20" customHeight="1">
      <c r="A579" t="inlineStr">
        <is>
          <t>Grupo H</t>
        </is>
      </c>
      <c r="B579" t="inlineStr">
        <is>
          <t>ESP</t>
        </is>
      </c>
      <c r="C579" t="inlineStr">
        <is>
          <t>Spain</t>
        </is>
      </c>
      <c r="D579" t="n">
        <v>18</v>
      </c>
      <c r="E579" t="inlineStr">
        <is>
          <t>ESP18</t>
        </is>
      </c>
      <c r="F579" t="inlineStr">
        <is>
          <t>Ferran Torres - Spain</t>
        </is>
      </c>
      <c r="G579" t="inlineStr">
        <is>
          <t>Base</t>
        </is>
      </c>
      <c r="I579" t="n">
        <v>0</v>
      </c>
    </row>
    <row r="580" ht="20" customHeight="1">
      <c r="A580" t="inlineStr">
        <is>
          <t>Grupo H</t>
        </is>
      </c>
      <c r="B580" t="inlineStr">
        <is>
          <t>ESP</t>
        </is>
      </c>
      <c r="C580" t="inlineStr">
        <is>
          <t>Spain</t>
        </is>
      </c>
      <c r="D580" t="n">
        <v>19</v>
      </c>
      <c r="E580" t="inlineStr">
        <is>
          <t>ESP19</t>
        </is>
      </c>
      <c r="F580" t="inlineStr">
        <is>
          <t>Álvaro Morata - Spain</t>
        </is>
      </c>
      <c r="G580" t="inlineStr">
        <is>
          <t>Base</t>
        </is>
      </c>
      <c r="I580" t="n">
        <v>0</v>
      </c>
    </row>
    <row r="581" ht="20" customHeight="1">
      <c r="A581" t="inlineStr">
        <is>
          <t>Grupo H</t>
        </is>
      </c>
      <c r="B581" t="inlineStr">
        <is>
          <t>ESP</t>
        </is>
      </c>
      <c r="C581" t="inlineStr">
        <is>
          <t>Spain</t>
        </is>
      </c>
      <c r="D581" t="n">
        <v>20</v>
      </c>
      <c r="E581" t="inlineStr">
        <is>
          <t>ESP20</t>
        </is>
      </c>
      <c r="F581" t="inlineStr">
        <is>
          <t>Mikel Oyarzabal - Spain</t>
        </is>
      </c>
      <c r="G581" t="inlineStr">
        <is>
          <t>Base</t>
        </is>
      </c>
      <c r="I581" t="n">
        <v>0</v>
      </c>
    </row>
    <row r="582" ht="20" customHeight="1">
      <c r="A582" t="inlineStr">
        <is>
          <t>Grupo H</t>
        </is>
      </c>
      <c r="B582" t="inlineStr">
        <is>
          <t>CPV</t>
        </is>
      </c>
      <c r="C582" t="inlineStr">
        <is>
          <t>Cape Verde</t>
        </is>
      </c>
      <c r="D582" t="n">
        <v>1</v>
      </c>
      <c r="E582" t="inlineStr">
        <is>
          <t>CPV1</t>
        </is>
      </c>
      <c r="F582" t="inlineStr">
        <is>
          <t>Team Logo - Cape Verde FOIL</t>
        </is>
      </c>
      <c r="G582" t="inlineStr">
        <is>
          <t>FOIL</t>
        </is>
      </c>
      <c r="I582" t="n">
        <v>0</v>
      </c>
    </row>
    <row r="583" ht="20" customHeight="1">
      <c r="A583" t="inlineStr">
        <is>
          <t>Grupo H</t>
        </is>
      </c>
      <c r="B583" t="inlineStr">
        <is>
          <t>CPV</t>
        </is>
      </c>
      <c r="C583" t="inlineStr">
        <is>
          <t>Cape Verde</t>
        </is>
      </c>
      <c r="D583" t="n">
        <v>2</v>
      </c>
      <c r="E583" t="inlineStr">
        <is>
          <t>CPV2</t>
        </is>
      </c>
      <c r="F583" t="inlineStr">
        <is>
          <t>Vozinha - Cape Verde</t>
        </is>
      </c>
      <c r="G583" t="inlineStr">
        <is>
          <t>Base</t>
        </is>
      </c>
      <c r="I583" t="n">
        <v>0</v>
      </c>
    </row>
    <row r="584" ht="20" customHeight="1">
      <c r="A584" t="inlineStr">
        <is>
          <t>Grupo H</t>
        </is>
      </c>
      <c r="B584" t="inlineStr">
        <is>
          <t>CPV</t>
        </is>
      </c>
      <c r="C584" t="inlineStr">
        <is>
          <t>Cape Verde</t>
        </is>
      </c>
      <c r="D584" t="n">
        <v>3</v>
      </c>
      <c r="E584" t="inlineStr">
        <is>
          <t>CPV3</t>
        </is>
      </c>
      <c r="F584" t="inlineStr">
        <is>
          <t>Logan Costa - Cape Verde</t>
        </is>
      </c>
      <c r="G584" t="inlineStr">
        <is>
          <t>Base</t>
        </is>
      </c>
      <c r="I584" t="n">
        <v>0</v>
      </c>
    </row>
    <row r="585" ht="20" customHeight="1">
      <c r="A585" t="inlineStr">
        <is>
          <t>Grupo H</t>
        </is>
      </c>
      <c r="B585" t="inlineStr">
        <is>
          <t>CPV</t>
        </is>
      </c>
      <c r="C585" t="inlineStr">
        <is>
          <t>Cape Verde</t>
        </is>
      </c>
      <c r="D585" t="n">
        <v>4</v>
      </c>
      <c r="E585" t="inlineStr">
        <is>
          <t>CPV4</t>
        </is>
      </c>
      <c r="F585" t="inlineStr">
        <is>
          <t>Pico - Cape Verde</t>
        </is>
      </c>
      <c r="G585" t="inlineStr">
        <is>
          <t>Base</t>
        </is>
      </c>
      <c r="I585" t="n">
        <v>0</v>
      </c>
    </row>
    <row r="586" ht="20" customHeight="1">
      <c r="A586" t="inlineStr">
        <is>
          <t>Grupo H</t>
        </is>
      </c>
      <c r="B586" t="inlineStr">
        <is>
          <t>CPV</t>
        </is>
      </c>
      <c r="C586" t="inlineStr">
        <is>
          <t>Cape Verde</t>
        </is>
      </c>
      <c r="D586" t="n">
        <v>5</v>
      </c>
      <c r="E586" t="inlineStr">
        <is>
          <t>CPV5</t>
        </is>
      </c>
      <c r="F586" t="inlineStr">
        <is>
          <t>Diney - Cape Verde</t>
        </is>
      </c>
      <c r="G586" t="inlineStr">
        <is>
          <t>Base</t>
        </is>
      </c>
      <c r="I586" t="n">
        <v>0</v>
      </c>
    </row>
    <row r="587" ht="20" customHeight="1">
      <c r="A587" t="inlineStr">
        <is>
          <t>Grupo H</t>
        </is>
      </c>
      <c r="B587" t="inlineStr">
        <is>
          <t>CPV</t>
        </is>
      </c>
      <c r="C587" t="inlineStr">
        <is>
          <t>Cape Verde</t>
        </is>
      </c>
      <c r="D587" t="n">
        <v>6</v>
      </c>
      <c r="E587" t="inlineStr">
        <is>
          <t>CPV6</t>
        </is>
      </c>
      <c r="F587" t="inlineStr">
        <is>
          <t>Steven Moreira - Cape Verde</t>
        </is>
      </c>
      <c r="G587" t="inlineStr">
        <is>
          <t>Base</t>
        </is>
      </c>
      <c r="I587" t="n">
        <v>0</v>
      </c>
    </row>
    <row r="588" ht="20" customHeight="1">
      <c r="A588" t="inlineStr">
        <is>
          <t>Grupo H</t>
        </is>
      </c>
      <c r="B588" t="inlineStr">
        <is>
          <t>CPV</t>
        </is>
      </c>
      <c r="C588" t="inlineStr">
        <is>
          <t>Cape Verde</t>
        </is>
      </c>
      <c r="D588" t="n">
        <v>7</v>
      </c>
      <c r="E588" t="inlineStr">
        <is>
          <t>CPV7</t>
        </is>
      </c>
      <c r="F588" t="inlineStr">
        <is>
          <t>Wagner Pina - Cape Verde</t>
        </is>
      </c>
      <c r="G588" t="inlineStr">
        <is>
          <t>Base</t>
        </is>
      </c>
      <c r="I588" t="n">
        <v>0</v>
      </c>
    </row>
    <row r="589" ht="20" customHeight="1">
      <c r="A589" t="inlineStr">
        <is>
          <t>Grupo H</t>
        </is>
      </c>
      <c r="B589" t="inlineStr">
        <is>
          <t>CPV</t>
        </is>
      </c>
      <c r="C589" t="inlineStr">
        <is>
          <t>Cape Verde</t>
        </is>
      </c>
      <c r="D589" t="n">
        <v>8</v>
      </c>
      <c r="E589" t="inlineStr">
        <is>
          <t>CPV8</t>
        </is>
      </c>
      <c r="F589" t="inlineStr">
        <is>
          <t>Joao Paulo - Cape Verde</t>
        </is>
      </c>
      <c r="G589" t="inlineStr">
        <is>
          <t>Base</t>
        </is>
      </c>
      <c r="I589" t="n">
        <v>0</v>
      </c>
    </row>
    <row r="590" ht="20" customHeight="1">
      <c r="A590" t="inlineStr">
        <is>
          <t>Grupo H</t>
        </is>
      </c>
      <c r="B590" t="inlineStr">
        <is>
          <t>CPV</t>
        </is>
      </c>
      <c r="C590" t="inlineStr">
        <is>
          <t>Cape Verde</t>
        </is>
      </c>
      <c r="D590" t="n">
        <v>9</v>
      </c>
      <c r="E590" t="inlineStr">
        <is>
          <t>CPV9</t>
        </is>
      </c>
      <c r="F590" t="inlineStr">
        <is>
          <t>Yannick Semedo - Cape Verde</t>
        </is>
      </c>
      <c r="G590" t="inlineStr">
        <is>
          <t>Base</t>
        </is>
      </c>
      <c r="I590" t="n">
        <v>0</v>
      </c>
    </row>
    <row r="591" ht="20" customHeight="1">
      <c r="A591" t="inlineStr">
        <is>
          <t>Grupo H</t>
        </is>
      </c>
      <c r="B591" t="inlineStr">
        <is>
          <t>CPV</t>
        </is>
      </c>
      <c r="C591" t="inlineStr">
        <is>
          <t>Cape Verde</t>
        </is>
      </c>
      <c r="D591" t="n">
        <v>10</v>
      </c>
      <c r="E591" t="inlineStr">
        <is>
          <t>CPV10</t>
        </is>
      </c>
      <c r="F591" t="inlineStr">
        <is>
          <t>Kevin Pina - Cape Verde</t>
        </is>
      </c>
      <c r="G591" t="inlineStr">
        <is>
          <t>Base</t>
        </is>
      </c>
      <c r="I591" t="n">
        <v>0</v>
      </c>
    </row>
    <row r="592" ht="20" customHeight="1">
      <c r="A592" t="inlineStr">
        <is>
          <t>Grupo H</t>
        </is>
      </c>
      <c r="B592" t="inlineStr">
        <is>
          <t>CPV</t>
        </is>
      </c>
      <c r="C592" t="inlineStr">
        <is>
          <t>Cape Verde</t>
        </is>
      </c>
      <c r="D592" t="n">
        <v>11</v>
      </c>
      <c r="E592" t="inlineStr">
        <is>
          <t>CPV11</t>
        </is>
      </c>
      <c r="F592" t="inlineStr">
        <is>
          <t>Patrick Andrade - Cape Verde</t>
        </is>
      </c>
      <c r="G592" t="inlineStr">
        <is>
          <t>Base</t>
        </is>
      </c>
      <c r="I592" t="n">
        <v>0</v>
      </c>
    </row>
    <row r="593" ht="20" customHeight="1">
      <c r="A593" t="inlineStr">
        <is>
          <t>Grupo H</t>
        </is>
      </c>
      <c r="B593" t="inlineStr">
        <is>
          <t>CPV</t>
        </is>
      </c>
      <c r="C593" t="inlineStr">
        <is>
          <t>Cape Verde</t>
        </is>
      </c>
      <c r="D593" t="n">
        <v>12</v>
      </c>
      <c r="E593" t="inlineStr">
        <is>
          <t>CPV12</t>
        </is>
      </c>
      <c r="F593" t="inlineStr">
        <is>
          <t>Jamiro Monteiro - Cape Verde</t>
        </is>
      </c>
      <c r="G593" t="inlineStr">
        <is>
          <t>Base</t>
        </is>
      </c>
      <c r="I593" t="n">
        <v>0</v>
      </c>
    </row>
    <row r="594" ht="20" customHeight="1">
      <c r="A594" t="inlineStr">
        <is>
          <t>Grupo H</t>
        </is>
      </c>
      <c r="B594" t="inlineStr">
        <is>
          <t>CPV</t>
        </is>
      </c>
      <c r="C594" t="inlineStr">
        <is>
          <t>Cape Verde</t>
        </is>
      </c>
      <c r="D594" t="n">
        <v>13</v>
      </c>
      <c r="E594" t="inlineStr">
        <is>
          <t>CPV13</t>
        </is>
      </c>
      <c r="F594" t="inlineStr">
        <is>
          <t>Team Photo - Cape Verde</t>
        </is>
      </c>
      <c r="G594" t="inlineStr">
        <is>
          <t>Base</t>
        </is>
      </c>
      <c r="I594" t="n">
        <v>0</v>
      </c>
    </row>
    <row r="595" ht="20" customHeight="1">
      <c r="A595" t="inlineStr">
        <is>
          <t>Grupo H</t>
        </is>
      </c>
      <c r="B595" t="inlineStr">
        <is>
          <t>CPV</t>
        </is>
      </c>
      <c r="C595" t="inlineStr">
        <is>
          <t>Cape Verde</t>
        </is>
      </c>
      <c r="D595" t="n">
        <v>14</v>
      </c>
      <c r="E595" t="inlineStr">
        <is>
          <t>CPV14</t>
        </is>
      </c>
      <c r="F595" t="inlineStr">
        <is>
          <t>Deroy Duarte - Cape Verde</t>
        </is>
      </c>
      <c r="G595" t="inlineStr">
        <is>
          <t>Base</t>
        </is>
      </c>
      <c r="I595" t="n">
        <v>0</v>
      </c>
    </row>
    <row r="596" ht="20" customHeight="1">
      <c r="A596" t="inlineStr">
        <is>
          <t>Grupo H</t>
        </is>
      </c>
      <c r="B596" t="inlineStr">
        <is>
          <t>CPV</t>
        </is>
      </c>
      <c r="C596" t="inlineStr">
        <is>
          <t>Cape Verde</t>
        </is>
      </c>
      <c r="D596" t="n">
        <v>15</v>
      </c>
      <c r="E596" t="inlineStr">
        <is>
          <t>CPV15</t>
        </is>
      </c>
      <c r="F596" t="inlineStr">
        <is>
          <t>Garry Rodrigues - Cape Verde</t>
        </is>
      </c>
      <c r="G596" t="inlineStr">
        <is>
          <t>Base</t>
        </is>
      </c>
      <c r="I596" t="n">
        <v>0</v>
      </c>
    </row>
    <row r="597" ht="20" customHeight="1">
      <c r="A597" t="inlineStr">
        <is>
          <t>Grupo H</t>
        </is>
      </c>
      <c r="B597" t="inlineStr">
        <is>
          <t>CPV</t>
        </is>
      </c>
      <c r="C597" t="inlineStr">
        <is>
          <t>Cape Verde</t>
        </is>
      </c>
      <c r="D597" t="n">
        <v>16</v>
      </c>
      <c r="E597" t="inlineStr">
        <is>
          <t>CPV16</t>
        </is>
      </c>
      <c r="F597" t="inlineStr">
        <is>
          <t>Jovane Cabral - Cape Verde</t>
        </is>
      </c>
      <c r="G597" t="inlineStr">
        <is>
          <t>Base</t>
        </is>
      </c>
      <c r="I597" t="n">
        <v>0</v>
      </c>
    </row>
    <row r="598" ht="20" customHeight="1">
      <c r="A598" t="inlineStr">
        <is>
          <t>Grupo H</t>
        </is>
      </c>
      <c r="B598" t="inlineStr">
        <is>
          <t>CPV</t>
        </is>
      </c>
      <c r="C598" t="inlineStr">
        <is>
          <t>Cape Verde</t>
        </is>
      </c>
      <c r="D598" t="n">
        <v>17</v>
      </c>
      <c r="E598" t="inlineStr">
        <is>
          <t>CPV17</t>
        </is>
      </c>
      <c r="F598" t="inlineStr">
        <is>
          <t>Ryan Mendes - Cape Verde</t>
        </is>
      </c>
      <c r="G598" t="inlineStr">
        <is>
          <t>Base</t>
        </is>
      </c>
      <c r="I598" t="n">
        <v>0</v>
      </c>
    </row>
    <row r="599" ht="20" customHeight="1">
      <c r="A599" t="inlineStr">
        <is>
          <t>Grupo H</t>
        </is>
      </c>
      <c r="B599" t="inlineStr">
        <is>
          <t>CPV</t>
        </is>
      </c>
      <c r="C599" t="inlineStr">
        <is>
          <t>Cape Verde</t>
        </is>
      </c>
      <c r="D599" t="n">
        <v>18</v>
      </c>
      <c r="E599" t="inlineStr">
        <is>
          <t>CPV18</t>
        </is>
      </c>
      <c r="F599" t="inlineStr">
        <is>
          <t>Dailon Livramento - Cape Verde</t>
        </is>
      </c>
      <c r="G599" t="inlineStr">
        <is>
          <t>Base</t>
        </is>
      </c>
      <c r="I599" t="n">
        <v>0</v>
      </c>
    </row>
    <row r="600" ht="20" customHeight="1">
      <c r="A600" t="inlineStr">
        <is>
          <t>Grupo H</t>
        </is>
      </c>
      <c r="B600" t="inlineStr">
        <is>
          <t>CPV</t>
        </is>
      </c>
      <c r="C600" t="inlineStr">
        <is>
          <t>Cape Verde</t>
        </is>
      </c>
      <c r="D600" t="n">
        <v>19</v>
      </c>
      <c r="E600" t="inlineStr">
        <is>
          <t>CPV19</t>
        </is>
      </c>
      <c r="F600" t="inlineStr">
        <is>
          <t>Willy Semedo - Cape Verde</t>
        </is>
      </c>
      <c r="G600" t="inlineStr">
        <is>
          <t>Base</t>
        </is>
      </c>
      <c r="I600" t="n">
        <v>0</v>
      </c>
    </row>
    <row r="601" ht="20" customHeight="1">
      <c r="A601" t="inlineStr">
        <is>
          <t>Grupo H</t>
        </is>
      </c>
      <c r="B601" t="inlineStr">
        <is>
          <t>CPV</t>
        </is>
      </c>
      <c r="C601" t="inlineStr">
        <is>
          <t>Cape Verde</t>
        </is>
      </c>
      <c r="D601" t="n">
        <v>20</v>
      </c>
      <c r="E601" t="inlineStr">
        <is>
          <t>CPV20</t>
        </is>
      </c>
      <c r="F601" t="inlineStr">
        <is>
          <t>Bebe - Cape Verde</t>
        </is>
      </c>
      <c r="G601" t="inlineStr">
        <is>
          <t>Base</t>
        </is>
      </c>
      <c r="I601" t="n">
        <v>0</v>
      </c>
    </row>
    <row r="602" ht="20" customHeight="1">
      <c r="A602" t="inlineStr">
        <is>
          <t>Grupo H</t>
        </is>
      </c>
      <c r="B602" t="inlineStr">
        <is>
          <t>KSA</t>
        </is>
      </c>
      <c r="C602" t="inlineStr">
        <is>
          <t>Saudi Arabia</t>
        </is>
      </c>
      <c r="D602" t="n">
        <v>1</v>
      </c>
      <c r="E602" t="inlineStr">
        <is>
          <t>KSA1</t>
        </is>
      </c>
      <c r="F602" t="inlineStr">
        <is>
          <t>Team Logo - Saudi Arabia FOIL</t>
        </is>
      </c>
      <c r="G602" t="inlineStr">
        <is>
          <t>FOIL</t>
        </is>
      </c>
      <c r="I602" t="n">
        <v>0</v>
      </c>
    </row>
    <row r="603" ht="20" customHeight="1">
      <c r="A603" t="inlineStr">
        <is>
          <t>Grupo H</t>
        </is>
      </c>
      <c r="B603" t="inlineStr">
        <is>
          <t>KSA</t>
        </is>
      </c>
      <c r="C603" t="inlineStr">
        <is>
          <t>Saudi Arabia</t>
        </is>
      </c>
      <c r="D603" t="n">
        <v>2</v>
      </c>
      <c r="E603" t="inlineStr">
        <is>
          <t>KSA2</t>
        </is>
      </c>
      <c r="F603" t="inlineStr">
        <is>
          <t>Nawaf Alaqidi - Saudi Arabia</t>
        </is>
      </c>
      <c r="G603" t="inlineStr">
        <is>
          <t>Base</t>
        </is>
      </c>
      <c r="I603" t="n">
        <v>0</v>
      </c>
    </row>
    <row r="604" ht="20" customHeight="1">
      <c r="A604" t="inlineStr">
        <is>
          <t>Grupo H</t>
        </is>
      </c>
      <c r="B604" t="inlineStr">
        <is>
          <t>KSA</t>
        </is>
      </c>
      <c r="C604" t="inlineStr">
        <is>
          <t>Saudi Arabia</t>
        </is>
      </c>
      <c r="D604" t="n">
        <v>3</v>
      </c>
      <c r="E604" t="inlineStr">
        <is>
          <t>KSA3</t>
        </is>
      </c>
      <c r="F604" t="inlineStr">
        <is>
          <t>Abdulrahman Al-Sanbi - Saudi Arabia</t>
        </is>
      </c>
      <c r="G604" t="inlineStr">
        <is>
          <t>Base</t>
        </is>
      </c>
      <c r="I604" t="n">
        <v>0</v>
      </c>
    </row>
    <row r="605" ht="20" customHeight="1">
      <c r="A605" t="inlineStr">
        <is>
          <t>Grupo H</t>
        </is>
      </c>
      <c r="B605" t="inlineStr">
        <is>
          <t>KSA</t>
        </is>
      </c>
      <c r="C605" t="inlineStr">
        <is>
          <t>Saudi Arabia</t>
        </is>
      </c>
      <c r="D605" t="n">
        <v>4</v>
      </c>
      <c r="E605" t="inlineStr">
        <is>
          <t>KSA4</t>
        </is>
      </c>
      <c r="F605" t="inlineStr">
        <is>
          <t>Saud Abdulhamid - Saudi Arabia</t>
        </is>
      </c>
      <c r="G605" t="inlineStr">
        <is>
          <t>Base</t>
        </is>
      </c>
      <c r="I605" t="n">
        <v>0</v>
      </c>
    </row>
    <row r="606" ht="20" customHeight="1">
      <c r="A606" t="inlineStr">
        <is>
          <t>Grupo H</t>
        </is>
      </c>
      <c r="B606" t="inlineStr">
        <is>
          <t>KSA</t>
        </is>
      </c>
      <c r="C606" t="inlineStr">
        <is>
          <t>Saudi Arabia</t>
        </is>
      </c>
      <c r="D606" t="n">
        <v>5</v>
      </c>
      <c r="E606" t="inlineStr">
        <is>
          <t>KSA5</t>
        </is>
      </c>
      <c r="F606" t="inlineStr">
        <is>
          <t>Nawaf Bouwashl - Saudi Arabia</t>
        </is>
      </c>
      <c r="G606" t="inlineStr">
        <is>
          <t>Base</t>
        </is>
      </c>
      <c r="I606" t="n">
        <v>0</v>
      </c>
    </row>
    <row r="607" ht="20" customHeight="1">
      <c r="A607" t="inlineStr">
        <is>
          <t>Grupo H</t>
        </is>
      </c>
      <c r="B607" t="inlineStr">
        <is>
          <t>KSA</t>
        </is>
      </c>
      <c r="C607" t="inlineStr">
        <is>
          <t>Saudi Arabia</t>
        </is>
      </c>
      <c r="D607" t="n">
        <v>6</v>
      </c>
      <c r="E607" t="inlineStr">
        <is>
          <t>KSA6</t>
        </is>
      </c>
      <c r="F607" t="inlineStr">
        <is>
          <t>Jihad Thakri - Saudi Arabia</t>
        </is>
      </c>
      <c r="G607" t="inlineStr">
        <is>
          <t>Base</t>
        </is>
      </c>
      <c r="I607" t="n">
        <v>0</v>
      </c>
    </row>
    <row r="608" ht="20" customHeight="1">
      <c r="A608" t="inlineStr">
        <is>
          <t>Grupo H</t>
        </is>
      </c>
      <c r="B608" t="inlineStr">
        <is>
          <t>KSA</t>
        </is>
      </c>
      <c r="C608" t="inlineStr">
        <is>
          <t>Saudi Arabia</t>
        </is>
      </c>
      <c r="D608" t="n">
        <v>7</v>
      </c>
      <c r="E608" t="inlineStr">
        <is>
          <t>KSA7</t>
        </is>
      </c>
      <c r="F608" t="inlineStr">
        <is>
          <t>Moteb Al-Harbi - Saudi Arabia</t>
        </is>
      </c>
      <c r="G608" t="inlineStr">
        <is>
          <t>Base</t>
        </is>
      </c>
      <c r="I608" t="n">
        <v>0</v>
      </c>
    </row>
    <row r="609" ht="20" customHeight="1">
      <c r="A609" t="inlineStr">
        <is>
          <t>Grupo H</t>
        </is>
      </c>
      <c r="B609" t="inlineStr">
        <is>
          <t>KSA</t>
        </is>
      </c>
      <c r="C609" t="inlineStr">
        <is>
          <t>Saudi Arabia</t>
        </is>
      </c>
      <c r="D609" t="n">
        <v>8</v>
      </c>
      <c r="E609" t="inlineStr">
        <is>
          <t>KSA8</t>
        </is>
      </c>
      <c r="F609" t="inlineStr">
        <is>
          <t>Hassan Altambakti - Saudi Arabia</t>
        </is>
      </c>
      <c r="G609" t="inlineStr">
        <is>
          <t>Base</t>
        </is>
      </c>
      <c r="I609" t="n">
        <v>0</v>
      </c>
    </row>
    <row r="610" ht="20" customHeight="1">
      <c r="A610" t="inlineStr">
        <is>
          <t>Grupo H</t>
        </is>
      </c>
      <c r="B610" t="inlineStr">
        <is>
          <t>KSA</t>
        </is>
      </c>
      <c r="C610" t="inlineStr">
        <is>
          <t>Saudi Arabia</t>
        </is>
      </c>
      <c r="D610" t="n">
        <v>9</v>
      </c>
      <c r="E610" t="inlineStr">
        <is>
          <t>KSA9</t>
        </is>
      </c>
      <c r="F610" t="inlineStr">
        <is>
          <t>Musab Aljuwayr - Saudi Arabia</t>
        </is>
      </c>
      <c r="G610" t="inlineStr">
        <is>
          <t>Base</t>
        </is>
      </c>
      <c r="I610" t="n">
        <v>0</v>
      </c>
    </row>
    <row r="611" ht="20" customHeight="1">
      <c r="A611" t="inlineStr">
        <is>
          <t>Grupo H</t>
        </is>
      </c>
      <c r="B611" t="inlineStr">
        <is>
          <t>KSA</t>
        </is>
      </c>
      <c r="C611" t="inlineStr">
        <is>
          <t>Saudi Arabia</t>
        </is>
      </c>
      <c r="D611" t="n">
        <v>10</v>
      </c>
      <c r="E611" t="inlineStr">
        <is>
          <t>KSA10</t>
        </is>
      </c>
      <c r="F611" t="inlineStr">
        <is>
          <t>Ziyad Aljohani - Saudi Arabia</t>
        </is>
      </c>
      <c r="G611" t="inlineStr">
        <is>
          <t>Base</t>
        </is>
      </c>
      <c r="I611" t="n">
        <v>0</v>
      </c>
    </row>
    <row r="612" ht="20" customHeight="1">
      <c r="A612" t="inlineStr">
        <is>
          <t>Grupo H</t>
        </is>
      </c>
      <c r="B612" t="inlineStr">
        <is>
          <t>KSA</t>
        </is>
      </c>
      <c r="C612" t="inlineStr">
        <is>
          <t>Saudi Arabia</t>
        </is>
      </c>
      <c r="D612" t="n">
        <v>11</v>
      </c>
      <c r="E612" t="inlineStr">
        <is>
          <t>KSA11</t>
        </is>
      </c>
      <c r="F612" t="inlineStr">
        <is>
          <t>Abdullah Alkhaibari - Saudi Arabia</t>
        </is>
      </c>
      <c r="G612" t="inlineStr">
        <is>
          <t>Base</t>
        </is>
      </c>
      <c r="I612" t="n">
        <v>0</v>
      </c>
    </row>
    <row r="613" ht="20" customHeight="1">
      <c r="A613" t="inlineStr">
        <is>
          <t>Grupo H</t>
        </is>
      </c>
      <c r="B613" t="inlineStr">
        <is>
          <t>KSA</t>
        </is>
      </c>
      <c r="C613" t="inlineStr">
        <is>
          <t>Saudi Arabia</t>
        </is>
      </c>
      <c r="D613" t="n">
        <v>12</v>
      </c>
      <c r="E613" t="inlineStr">
        <is>
          <t>KAS12</t>
        </is>
      </c>
      <c r="F613" t="inlineStr">
        <is>
          <t>Nasser Aldawsari - Saudi Arabia</t>
        </is>
      </c>
      <c r="G613" t="inlineStr">
        <is>
          <t>Base</t>
        </is>
      </c>
      <c r="I613" t="n">
        <v>0</v>
      </c>
    </row>
    <row r="614" ht="20" customHeight="1">
      <c r="A614" t="inlineStr">
        <is>
          <t>Grupo H</t>
        </is>
      </c>
      <c r="B614" t="inlineStr">
        <is>
          <t>KSA</t>
        </is>
      </c>
      <c r="C614" t="inlineStr">
        <is>
          <t>Saudi Arabia</t>
        </is>
      </c>
      <c r="D614" t="n">
        <v>13</v>
      </c>
      <c r="E614" t="inlineStr">
        <is>
          <t>KSA13</t>
        </is>
      </c>
      <c r="F614" t="inlineStr">
        <is>
          <t>Team Photo - Saudi Arabia</t>
        </is>
      </c>
      <c r="G614" t="inlineStr">
        <is>
          <t>Base</t>
        </is>
      </c>
      <c r="I614" t="n">
        <v>0</v>
      </c>
    </row>
    <row r="615" ht="20" customHeight="1">
      <c r="A615" t="inlineStr">
        <is>
          <t>Grupo H</t>
        </is>
      </c>
      <c r="B615" t="inlineStr">
        <is>
          <t>KSA</t>
        </is>
      </c>
      <c r="C615" t="inlineStr">
        <is>
          <t>Saudi Arabia</t>
        </is>
      </c>
      <c r="D615" t="n">
        <v>14</v>
      </c>
      <c r="E615" t="inlineStr">
        <is>
          <t>KSA14</t>
        </is>
      </c>
      <c r="F615" t="inlineStr">
        <is>
          <t>Saleh Abu Alshamat - Saudi Arabia</t>
        </is>
      </c>
      <c r="G615" t="inlineStr">
        <is>
          <t>Base</t>
        </is>
      </c>
      <c r="I615" t="n">
        <v>0</v>
      </c>
    </row>
    <row r="616" ht="20" customHeight="1">
      <c r="A616" t="inlineStr">
        <is>
          <t>Grupo H</t>
        </is>
      </c>
      <c r="B616" t="inlineStr">
        <is>
          <t>KSA</t>
        </is>
      </c>
      <c r="C616" t="inlineStr">
        <is>
          <t>Saudi Arabia</t>
        </is>
      </c>
      <c r="D616" t="n">
        <v>15</v>
      </c>
      <c r="E616" t="inlineStr">
        <is>
          <t>KSA15</t>
        </is>
      </c>
      <c r="F616" t="inlineStr">
        <is>
          <t>Marwan Alsahafi - Saudi Arabia</t>
        </is>
      </c>
      <c r="G616" t="inlineStr">
        <is>
          <t>Base</t>
        </is>
      </c>
      <c r="I616" t="n">
        <v>0</v>
      </c>
    </row>
    <row r="617" ht="20" customHeight="1">
      <c r="A617" t="inlineStr">
        <is>
          <t>Grupo H</t>
        </is>
      </c>
      <c r="B617" t="inlineStr">
        <is>
          <t>KSA</t>
        </is>
      </c>
      <c r="C617" t="inlineStr">
        <is>
          <t>Saudi Arabia</t>
        </is>
      </c>
      <c r="D617" t="n">
        <v>16</v>
      </c>
      <c r="E617" t="inlineStr">
        <is>
          <t>KSA16</t>
        </is>
      </c>
      <c r="F617" t="inlineStr">
        <is>
          <t>Salem Aldawsari - Saudi Arabia</t>
        </is>
      </c>
      <c r="G617" t="inlineStr">
        <is>
          <t>Base</t>
        </is>
      </c>
      <c r="I617" t="n">
        <v>0</v>
      </c>
    </row>
    <row r="618" ht="20" customHeight="1">
      <c r="A618" t="inlineStr">
        <is>
          <t>Grupo H</t>
        </is>
      </c>
      <c r="B618" t="inlineStr">
        <is>
          <t>KSA</t>
        </is>
      </c>
      <c r="C618" t="inlineStr">
        <is>
          <t>Saudi Arabia</t>
        </is>
      </c>
      <c r="D618" t="n">
        <v>17</v>
      </c>
      <c r="E618" t="inlineStr">
        <is>
          <t>KSA17</t>
        </is>
      </c>
      <c r="F618" t="inlineStr">
        <is>
          <t>Abdulrahman Al-Aboud - Saudi Arabia</t>
        </is>
      </c>
      <c r="G618" t="inlineStr">
        <is>
          <t>Base</t>
        </is>
      </c>
      <c r="I618" t="n">
        <v>0</v>
      </c>
    </row>
    <row r="619" ht="20" customHeight="1">
      <c r="A619" t="inlineStr">
        <is>
          <t>Grupo H</t>
        </is>
      </c>
      <c r="B619" t="inlineStr">
        <is>
          <t>KSA</t>
        </is>
      </c>
      <c r="C619" t="inlineStr">
        <is>
          <t>Saudi Arabia</t>
        </is>
      </c>
      <c r="D619" t="n">
        <v>18</v>
      </c>
      <c r="E619" t="inlineStr">
        <is>
          <t>KSA18</t>
        </is>
      </c>
      <c r="F619" t="inlineStr">
        <is>
          <t>Feras Akbrikan - Saudi Arabia</t>
        </is>
      </c>
      <c r="G619" t="inlineStr">
        <is>
          <t>Base</t>
        </is>
      </c>
      <c r="I619" t="n">
        <v>0</v>
      </c>
    </row>
    <row r="620" ht="20" customHeight="1">
      <c r="A620" t="inlineStr">
        <is>
          <t>Grupo H</t>
        </is>
      </c>
      <c r="B620" t="inlineStr">
        <is>
          <t>KSA</t>
        </is>
      </c>
      <c r="C620" t="inlineStr">
        <is>
          <t>Saudi Arabia</t>
        </is>
      </c>
      <c r="D620" t="n">
        <v>19</v>
      </c>
      <c r="E620" t="inlineStr">
        <is>
          <t>KSA19</t>
        </is>
      </c>
      <c r="F620" t="inlineStr">
        <is>
          <t>Saleh Alshehri - Saudi Arabia</t>
        </is>
      </c>
      <c r="G620" t="inlineStr">
        <is>
          <t>Base</t>
        </is>
      </c>
      <c r="I620" t="n">
        <v>0</v>
      </c>
    </row>
    <row r="621" ht="20" customHeight="1">
      <c r="A621" t="inlineStr">
        <is>
          <t>Grupo H</t>
        </is>
      </c>
      <c r="B621" t="inlineStr">
        <is>
          <t>KSA</t>
        </is>
      </c>
      <c r="C621" t="inlineStr">
        <is>
          <t>Saudi Arabia</t>
        </is>
      </c>
      <c r="D621" t="n">
        <v>20</v>
      </c>
      <c r="E621" t="inlineStr">
        <is>
          <t>KSA20</t>
        </is>
      </c>
      <c r="F621" t="inlineStr">
        <is>
          <t>Abdullah Al-Hamdan - Saudi Arabia</t>
        </is>
      </c>
      <c r="G621" t="inlineStr">
        <is>
          <t>Base</t>
        </is>
      </c>
      <c r="I621" t="n">
        <v>0</v>
      </c>
    </row>
    <row r="622" ht="20" customHeight="1">
      <c r="A622" t="inlineStr">
        <is>
          <t>Grupo H</t>
        </is>
      </c>
      <c r="B622" t="inlineStr">
        <is>
          <t>URU</t>
        </is>
      </c>
      <c r="C622" t="inlineStr">
        <is>
          <t>Uruguay</t>
        </is>
      </c>
      <c r="D622" t="n">
        <v>1</v>
      </c>
      <c r="E622" t="inlineStr">
        <is>
          <t>URU1</t>
        </is>
      </c>
      <c r="F622" t="inlineStr">
        <is>
          <t>Team Logo - Uruguay FOIL</t>
        </is>
      </c>
      <c r="G622" t="inlineStr">
        <is>
          <t>FOIL</t>
        </is>
      </c>
      <c r="I622" t="n">
        <v>0</v>
      </c>
    </row>
    <row r="623" ht="20" customHeight="1">
      <c r="A623" t="inlineStr">
        <is>
          <t>Grupo H</t>
        </is>
      </c>
      <c r="B623" t="inlineStr">
        <is>
          <t>URU</t>
        </is>
      </c>
      <c r="C623" t="inlineStr">
        <is>
          <t>Uruguay</t>
        </is>
      </c>
      <c r="D623" t="n">
        <v>2</v>
      </c>
      <c r="E623" t="inlineStr">
        <is>
          <t>URU2</t>
        </is>
      </c>
      <c r="F623" t="inlineStr">
        <is>
          <t>Sergio Rochet - Uruguay</t>
        </is>
      </c>
      <c r="G623" t="inlineStr">
        <is>
          <t>Base</t>
        </is>
      </c>
      <c r="I623" t="n">
        <v>0</v>
      </c>
    </row>
    <row r="624" ht="20" customHeight="1">
      <c r="A624" t="inlineStr">
        <is>
          <t>Grupo H</t>
        </is>
      </c>
      <c r="B624" t="inlineStr">
        <is>
          <t>URU</t>
        </is>
      </c>
      <c r="C624" t="inlineStr">
        <is>
          <t>Uruguay</t>
        </is>
      </c>
      <c r="D624" t="n">
        <v>3</v>
      </c>
      <c r="E624" t="inlineStr">
        <is>
          <t>URU3</t>
        </is>
      </c>
      <c r="F624" t="inlineStr">
        <is>
          <t>Santiago Mele - Uruguay</t>
        </is>
      </c>
      <c r="G624" t="inlineStr">
        <is>
          <t>Base</t>
        </is>
      </c>
      <c r="I624" t="n">
        <v>0</v>
      </c>
    </row>
    <row r="625" ht="20" customHeight="1">
      <c r="A625" t="inlineStr">
        <is>
          <t>Grupo H</t>
        </is>
      </c>
      <c r="B625" t="inlineStr">
        <is>
          <t>URU</t>
        </is>
      </c>
      <c r="C625" t="inlineStr">
        <is>
          <t>Uruguay</t>
        </is>
      </c>
      <c r="D625" t="n">
        <v>4</v>
      </c>
      <c r="E625" t="inlineStr">
        <is>
          <t>URU4</t>
        </is>
      </c>
      <c r="F625" t="inlineStr">
        <is>
          <t>Ronald Araujo - Uruguay</t>
        </is>
      </c>
      <c r="G625" t="inlineStr">
        <is>
          <t>Base</t>
        </is>
      </c>
      <c r="I625" t="n">
        <v>0</v>
      </c>
    </row>
    <row r="626" ht="20" customHeight="1">
      <c r="A626" t="inlineStr">
        <is>
          <t>Grupo H</t>
        </is>
      </c>
      <c r="B626" t="inlineStr">
        <is>
          <t>URU</t>
        </is>
      </c>
      <c r="C626" t="inlineStr">
        <is>
          <t>Uruguay</t>
        </is>
      </c>
      <c r="D626" t="n">
        <v>5</v>
      </c>
      <c r="E626" t="inlineStr">
        <is>
          <t>URU5</t>
        </is>
      </c>
      <c r="F626" t="inlineStr">
        <is>
          <t>José María Giménez - Uruguay</t>
        </is>
      </c>
      <c r="G626" t="inlineStr">
        <is>
          <t>Base</t>
        </is>
      </c>
      <c r="I626" t="n">
        <v>0</v>
      </c>
    </row>
    <row r="627" ht="20" customHeight="1">
      <c r="A627" t="inlineStr">
        <is>
          <t>Grupo H</t>
        </is>
      </c>
      <c r="B627" t="inlineStr">
        <is>
          <t>URU</t>
        </is>
      </c>
      <c r="C627" t="inlineStr">
        <is>
          <t>Uruguay</t>
        </is>
      </c>
      <c r="D627" t="n">
        <v>6</v>
      </c>
      <c r="E627" t="inlineStr">
        <is>
          <t>URU6</t>
        </is>
      </c>
      <c r="F627" t="inlineStr">
        <is>
          <t>Sebastian Caceres - Uruguay</t>
        </is>
      </c>
      <c r="G627" t="inlineStr">
        <is>
          <t>Base</t>
        </is>
      </c>
      <c r="I627" t="n">
        <v>0</v>
      </c>
    </row>
    <row r="628" ht="20" customHeight="1">
      <c r="A628" t="inlineStr">
        <is>
          <t>Grupo H</t>
        </is>
      </c>
      <c r="B628" t="inlineStr">
        <is>
          <t>URU</t>
        </is>
      </c>
      <c r="C628" t="inlineStr">
        <is>
          <t>Uruguay</t>
        </is>
      </c>
      <c r="D628" t="n">
        <v>7</v>
      </c>
      <c r="E628" t="inlineStr">
        <is>
          <t>URU7</t>
        </is>
      </c>
      <c r="F628" t="inlineStr">
        <is>
          <t>Mathias Olivera - Uruguay</t>
        </is>
      </c>
      <c r="G628" t="inlineStr">
        <is>
          <t>Base</t>
        </is>
      </c>
      <c r="I628" t="n">
        <v>0</v>
      </c>
    </row>
    <row r="629" ht="20" customHeight="1">
      <c r="A629" t="inlineStr">
        <is>
          <t>Grupo H</t>
        </is>
      </c>
      <c r="B629" t="inlineStr">
        <is>
          <t>URU</t>
        </is>
      </c>
      <c r="C629" t="inlineStr">
        <is>
          <t>Uruguay</t>
        </is>
      </c>
      <c r="D629" t="n">
        <v>8</v>
      </c>
      <c r="E629" t="inlineStr">
        <is>
          <t>URU8</t>
        </is>
      </c>
      <c r="F629" t="inlineStr">
        <is>
          <t>Guillermo Varela - Uruguay</t>
        </is>
      </c>
      <c r="G629" t="inlineStr">
        <is>
          <t>Base</t>
        </is>
      </c>
      <c r="I629" t="n">
        <v>0</v>
      </c>
    </row>
    <row r="630" ht="20" customHeight="1">
      <c r="A630" t="inlineStr">
        <is>
          <t>Grupo H</t>
        </is>
      </c>
      <c r="B630" t="inlineStr">
        <is>
          <t>URU</t>
        </is>
      </c>
      <c r="C630" t="inlineStr">
        <is>
          <t>Uruguay</t>
        </is>
      </c>
      <c r="D630" t="n">
        <v>9</v>
      </c>
      <c r="E630" t="inlineStr">
        <is>
          <t>URU9</t>
        </is>
      </c>
      <c r="F630" t="inlineStr">
        <is>
          <t>Nahitan Nandez - Uruguay</t>
        </is>
      </c>
      <c r="G630" t="inlineStr">
        <is>
          <t>Base</t>
        </is>
      </c>
      <c r="I630" t="n">
        <v>0</v>
      </c>
    </row>
    <row r="631" ht="20" customHeight="1">
      <c r="A631" t="inlineStr">
        <is>
          <t>Grupo H</t>
        </is>
      </c>
      <c r="B631" t="inlineStr">
        <is>
          <t>URU</t>
        </is>
      </c>
      <c r="C631" t="inlineStr">
        <is>
          <t>Uruguay</t>
        </is>
      </c>
      <c r="D631" t="n">
        <v>10</v>
      </c>
      <c r="E631" t="inlineStr">
        <is>
          <t>URU10</t>
        </is>
      </c>
      <c r="F631" t="inlineStr">
        <is>
          <t>Federico Valverde - Uruguay</t>
        </is>
      </c>
      <c r="G631" t="inlineStr">
        <is>
          <t>Base</t>
        </is>
      </c>
      <c r="I631" t="n">
        <v>0</v>
      </c>
    </row>
    <row r="632" ht="20" customHeight="1">
      <c r="A632" t="inlineStr">
        <is>
          <t>Grupo H</t>
        </is>
      </c>
      <c r="B632" t="inlineStr">
        <is>
          <t>URU</t>
        </is>
      </c>
      <c r="C632" t="inlineStr">
        <is>
          <t>Uruguay</t>
        </is>
      </c>
      <c r="D632" t="n">
        <v>11</v>
      </c>
      <c r="E632" t="inlineStr">
        <is>
          <t>URU11</t>
        </is>
      </c>
      <c r="F632" t="inlineStr">
        <is>
          <t>Giorgian De Arrascaeta - Uruguay</t>
        </is>
      </c>
      <c r="G632" t="inlineStr">
        <is>
          <t>Base</t>
        </is>
      </c>
      <c r="I632" t="n">
        <v>0</v>
      </c>
    </row>
    <row r="633" ht="20" customHeight="1">
      <c r="A633" t="inlineStr">
        <is>
          <t>Grupo H</t>
        </is>
      </c>
      <c r="B633" t="inlineStr">
        <is>
          <t>URU</t>
        </is>
      </c>
      <c r="C633" t="inlineStr">
        <is>
          <t>Uruguay</t>
        </is>
      </c>
      <c r="D633" t="n">
        <v>12</v>
      </c>
      <c r="E633" t="inlineStr">
        <is>
          <t>URU12</t>
        </is>
      </c>
      <c r="F633" t="inlineStr">
        <is>
          <t>Rodrigo Bentancur - Uruguay</t>
        </is>
      </c>
      <c r="G633" t="inlineStr">
        <is>
          <t>Base</t>
        </is>
      </c>
      <c r="I633" t="n">
        <v>0</v>
      </c>
    </row>
    <row r="634" ht="20" customHeight="1">
      <c r="A634" t="inlineStr">
        <is>
          <t>Grupo H</t>
        </is>
      </c>
      <c r="B634" t="inlineStr">
        <is>
          <t>URU</t>
        </is>
      </c>
      <c r="C634" t="inlineStr">
        <is>
          <t>Uruguay</t>
        </is>
      </c>
      <c r="D634" t="n">
        <v>13</v>
      </c>
      <c r="E634" t="inlineStr">
        <is>
          <t>URU13</t>
        </is>
      </c>
      <c r="F634" t="inlineStr">
        <is>
          <t>Team Photo - Uruguay</t>
        </is>
      </c>
      <c r="G634" t="inlineStr">
        <is>
          <t>Base</t>
        </is>
      </c>
      <c r="I634" t="n">
        <v>0</v>
      </c>
    </row>
    <row r="635" ht="20" customHeight="1">
      <c r="A635" t="inlineStr">
        <is>
          <t>Grupo H</t>
        </is>
      </c>
      <c r="B635" t="inlineStr">
        <is>
          <t>URU</t>
        </is>
      </c>
      <c r="C635" t="inlineStr">
        <is>
          <t>Uruguay</t>
        </is>
      </c>
      <c r="D635" t="n">
        <v>14</v>
      </c>
      <c r="E635" t="inlineStr">
        <is>
          <t>URU14</t>
        </is>
      </c>
      <c r="F635" t="inlineStr">
        <is>
          <t>Manuel Ugarte - Uruguay</t>
        </is>
      </c>
      <c r="G635" t="inlineStr">
        <is>
          <t>Base</t>
        </is>
      </c>
      <c r="I635" t="n">
        <v>0</v>
      </c>
    </row>
    <row r="636" ht="20" customHeight="1">
      <c r="A636" t="inlineStr">
        <is>
          <t>Grupo H</t>
        </is>
      </c>
      <c r="B636" t="inlineStr">
        <is>
          <t>URU</t>
        </is>
      </c>
      <c r="C636" t="inlineStr">
        <is>
          <t>Uruguay</t>
        </is>
      </c>
      <c r="D636" t="n">
        <v>15</v>
      </c>
      <c r="E636" t="inlineStr">
        <is>
          <t>URU15</t>
        </is>
      </c>
      <c r="F636" t="inlineStr">
        <is>
          <t>Nicolás de la Cruz - Uruguay</t>
        </is>
      </c>
      <c r="G636" t="inlineStr">
        <is>
          <t>Base</t>
        </is>
      </c>
      <c r="I636" t="n">
        <v>0</v>
      </c>
    </row>
    <row r="637" ht="20" customHeight="1">
      <c r="A637" t="inlineStr">
        <is>
          <t>Grupo H</t>
        </is>
      </c>
      <c r="B637" t="inlineStr">
        <is>
          <t>URU</t>
        </is>
      </c>
      <c r="C637" t="inlineStr">
        <is>
          <t>Uruguay</t>
        </is>
      </c>
      <c r="D637" t="n">
        <v>16</v>
      </c>
      <c r="E637" t="inlineStr">
        <is>
          <t>URU16</t>
        </is>
      </c>
      <c r="F637" t="inlineStr">
        <is>
          <t>Maxi Araujo - Uruguay</t>
        </is>
      </c>
      <c r="G637" t="inlineStr">
        <is>
          <t>Base</t>
        </is>
      </c>
      <c r="I637" t="n">
        <v>0</v>
      </c>
    </row>
    <row r="638" ht="20" customHeight="1">
      <c r="A638" t="inlineStr">
        <is>
          <t>Grupo H</t>
        </is>
      </c>
      <c r="B638" t="inlineStr">
        <is>
          <t>URU</t>
        </is>
      </c>
      <c r="C638" t="inlineStr">
        <is>
          <t>Uruguay</t>
        </is>
      </c>
      <c r="D638" t="n">
        <v>17</v>
      </c>
      <c r="E638" t="inlineStr">
        <is>
          <t>URU17</t>
        </is>
      </c>
      <c r="F638" t="inlineStr">
        <is>
          <t>Darwin Núñez - Uruguay</t>
        </is>
      </c>
      <c r="G638" t="inlineStr">
        <is>
          <t>Base</t>
        </is>
      </c>
      <c r="I638" t="n">
        <v>0</v>
      </c>
    </row>
    <row r="639" ht="20" customHeight="1">
      <c r="A639" t="inlineStr">
        <is>
          <t>Grupo H</t>
        </is>
      </c>
      <c r="B639" t="inlineStr">
        <is>
          <t>URU</t>
        </is>
      </c>
      <c r="C639" t="inlineStr">
        <is>
          <t>Uruguay</t>
        </is>
      </c>
      <c r="D639" t="n">
        <v>18</v>
      </c>
      <c r="E639" t="inlineStr">
        <is>
          <t>URU18</t>
        </is>
      </c>
      <c r="F639" t="inlineStr">
        <is>
          <t>Federico Viñas - Uruguay</t>
        </is>
      </c>
      <c r="G639" t="inlineStr">
        <is>
          <t>Base</t>
        </is>
      </c>
      <c r="I639" t="n">
        <v>0</v>
      </c>
    </row>
    <row r="640" ht="20" customHeight="1">
      <c r="A640" t="inlineStr">
        <is>
          <t>Grupo H</t>
        </is>
      </c>
      <c r="B640" t="inlineStr">
        <is>
          <t>URU</t>
        </is>
      </c>
      <c r="C640" t="inlineStr">
        <is>
          <t>Uruguay</t>
        </is>
      </c>
      <c r="D640" t="n">
        <v>19</v>
      </c>
      <c r="E640" t="inlineStr">
        <is>
          <t>URU19</t>
        </is>
      </c>
      <c r="F640" t="inlineStr">
        <is>
          <t>Rodrigo Aguirre - Uruguay</t>
        </is>
      </c>
      <c r="G640" t="inlineStr">
        <is>
          <t>Base</t>
        </is>
      </c>
      <c r="I640" t="n">
        <v>0</v>
      </c>
    </row>
    <row r="641" ht="20" customHeight="1">
      <c r="A641" t="inlineStr">
        <is>
          <t>Grupo H</t>
        </is>
      </c>
      <c r="B641" t="inlineStr">
        <is>
          <t>URU</t>
        </is>
      </c>
      <c r="C641" t="inlineStr">
        <is>
          <t>Uruguay</t>
        </is>
      </c>
      <c r="D641" t="n">
        <v>20</v>
      </c>
      <c r="E641" t="inlineStr">
        <is>
          <t>URU20</t>
        </is>
      </c>
      <c r="F641" t="inlineStr">
        <is>
          <t>Facundo Pellistri - Uruguay</t>
        </is>
      </c>
      <c r="G641" t="inlineStr">
        <is>
          <t>Base</t>
        </is>
      </c>
      <c r="I641" t="n">
        <v>0</v>
      </c>
    </row>
    <row r="642" ht="20" customHeight="1">
      <c r="A642" t="inlineStr">
        <is>
          <t>Grupo I</t>
        </is>
      </c>
      <c r="B642" t="inlineStr">
        <is>
          <t>FRA</t>
        </is>
      </c>
      <c r="C642" t="inlineStr">
        <is>
          <t>France</t>
        </is>
      </c>
      <c r="D642" t="n">
        <v>1</v>
      </c>
      <c r="E642" t="inlineStr">
        <is>
          <t>FRA1</t>
        </is>
      </c>
      <c r="F642" t="inlineStr">
        <is>
          <t>Team Logo - France FOIL</t>
        </is>
      </c>
      <c r="G642" t="inlineStr">
        <is>
          <t>FOIL</t>
        </is>
      </c>
      <c r="I642" t="n">
        <v>0</v>
      </c>
    </row>
    <row r="643" ht="20" customHeight="1">
      <c r="A643" t="inlineStr">
        <is>
          <t>Grupo I</t>
        </is>
      </c>
      <c r="B643" t="inlineStr">
        <is>
          <t>FRA</t>
        </is>
      </c>
      <c r="C643" t="inlineStr">
        <is>
          <t>France</t>
        </is>
      </c>
      <c r="D643" t="n">
        <v>2</v>
      </c>
      <c r="E643" t="inlineStr">
        <is>
          <t>FRA2</t>
        </is>
      </c>
      <c r="F643" t="inlineStr">
        <is>
          <t>Mike Maignan - France</t>
        </is>
      </c>
      <c r="G643" t="inlineStr">
        <is>
          <t>Base</t>
        </is>
      </c>
      <c r="I643" t="n">
        <v>0</v>
      </c>
    </row>
    <row r="644" ht="20" customHeight="1">
      <c r="A644" t="inlineStr">
        <is>
          <t>Grupo I</t>
        </is>
      </c>
      <c r="B644" t="inlineStr">
        <is>
          <t>FRA</t>
        </is>
      </c>
      <c r="C644" t="inlineStr">
        <is>
          <t>France</t>
        </is>
      </c>
      <c r="D644" t="n">
        <v>3</v>
      </c>
      <c r="E644" t="inlineStr">
        <is>
          <t>FRA3</t>
        </is>
      </c>
      <c r="F644" t="inlineStr">
        <is>
          <t>Theo Hernandez - France</t>
        </is>
      </c>
      <c r="G644" t="inlineStr">
        <is>
          <t>Base</t>
        </is>
      </c>
      <c r="I644" t="n">
        <v>0</v>
      </c>
    </row>
    <row r="645" ht="20" customHeight="1">
      <c r="A645" t="inlineStr">
        <is>
          <t>Grupo I</t>
        </is>
      </c>
      <c r="B645" t="inlineStr">
        <is>
          <t>FRA</t>
        </is>
      </c>
      <c r="C645" t="inlineStr">
        <is>
          <t>France</t>
        </is>
      </c>
      <c r="D645" t="n">
        <v>4</v>
      </c>
      <c r="E645" t="inlineStr">
        <is>
          <t>FRA4</t>
        </is>
      </c>
      <c r="F645" t="inlineStr">
        <is>
          <t>William Saliba - France</t>
        </is>
      </c>
      <c r="G645" t="inlineStr">
        <is>
          <t>Base</t>
        </is>
      </c>
      <c r="I645" t="n">
        <v>0</v>
      </c>
    </row>
    <row r="646" ht="20" customHeight="1">
      <c r="A646" t="inlineStr">
        <is>
          <t>Grupo I</t>
        </is>
      </c>
      <c r="B646" t="inlineStr">
        <is>
          <t>FRA</t>
        </is>
      </c>
      <c r="C646" t="inlineStr">
        <is>
          <t>France</t>
        </is>
      </c>
      <c r="D646" t="n">
        <v>5</v>
      </c>
      <c r="E646" t="inlineStr">
        <is>
          <t>FRA5</t>
        </is>
      </c>
      <c r="F646" t="inlineStr">
        <is>
          <t>Jules Kounde - France</t>
        </is>
      </c>
      <c r="G646" t="inlineStr">
        <is>
          <t>Base</t>
        </is>
      </c>
      <c r="I646" t="n">
        <v>0</v>
      </c>
    </row>
    <row r="647" ht="20" customHeight="1">
      <c r="A647" t="inlineStr">
        <is>
          <t>Grupo I</t>
        </is>
      </c>
      <c r="B647" t="inlineStr">
        <is>
          <t>FRA</t>
        </is>
      </c>
      <c r="C647" t="inlineStr">
        <is>
          <t>France</t>
        </is>
      </c>
      <c r="D647" t="n">
        <v>6</v>
      </c>
      <c r="E647" t="inlineStr">
        <is>
          <t>FRA6</t>
        </is>
      </c>
      <c r="F647" t="inlineStr">
        <is>
          <t>Ibrahima Konate - France</t>
        </is>
      </c>
      <c r="G647" t="inlineStr">
        <is>
          <t>Base</t>
        </is>
      </c>
      <c r="I647" t="n">
        <v>0</v>
      </c>
    </row>
    <row r="648" ht="20" customHeight="1">
      <c r="A648" t="inlineStr">
        <is>
          <t>Grupo I</t>
        </is>
      </c>
      <c r="B648" t="inlineStr">
        <is>
          <t>FRA</t>
        </is>
      </c>
      <c r="C648" t="inlineStr">
        <is>
          <t>France</t>
        </is>
      </c>
      <c r="D648" t="n">
        <v>7</v>
      </c>
      <c r="E648" t="inlineStr">
        <is>
          <t>FRA7</t>
        </is>
      </c>
      <c r="F648" t="inlineStr">
        <is>
          <t>Dayot Upamecano - France</t>
        </is>
      </c>
      <c r="G648" t="inlineStr">
        <is>
          <t>Base</t>
        </is>
      </c>
      <c r="I648" t="n">
        <v>0</v>
      </c>
    </row>
    <row r="649" ht="20" customHeight="1">
      <c r="A649" t="inlineStr">
        <is>
          <t>Grupo I</t>
        </is>
      </c>
      <c r="B649" t="inlineStr">
        <is>
          <t>FRA</t>
        </is>
      </c>
      <c r="C649" t="inlineStr">
        <is>
          <t>France</t>
        </is>
      </c>
      <c r="D649" t="n">
        <v>8</v>
      </c>
      <c r="E649" t="inlineStr">
        <is>
          <t>FRA8</t>
        </is>
      </c>
      <c r="F649" t="inlineStr">
        <is>
          <t>Lucas Digne - France</t>
        </is>
      </c>
      <c r="G649" t="inlineStr">
        <is>
          <t>Base</t>
        </is>
      </c>
      <c r="I649" t="n">
        <v>0</v>
      </c>
    </row>
    <row r="650" ht="20" customHeight="1">
      <c r="A650" t="inlineStr">
        <is>
          <t>Grupo I</t>
        </is>
      </c>
      <c r="B650" t="inlineStr">
        <is>
          <t>FRA</t>
        </is>
      </c>
      <c r="C650" t="inlineStr">
        <is>
          <t>France</t>
        </is>
      </c>
      <c r="D650" t="n">
        <v>9</v>
      </c>
      <c r="E650" t="inlineStr">
        <is>
          <t>FRA9</t>
        </is>
      </c>
      <c r="F650" t="inlineStr">
        <is>
          <t>Aurélien Tchouaméni - France</t>
        </is>
      </c>
      <c r="G650" t="inlineStr">
        <is>
          <t>Base</t>
        </is>
      </c>
      <c r="I650" t="n">
        <v>0</v>
      </c>
    </row>
    <row r="651" ht="20" customHeight="1">
      <c r="A651" t="inlineStr">
        <is>
          <t>Grupo I</t>
        </is>
      </c>
      <c r="B651" t="inlineStr">
        <is>
          <t>FRA</t>
        </is>
      </c>
      <c r="C651" t="inlineStr">
        <is>
          <t>France</t>
        </is>
      </c>
      <c r="D651" t="n">
        <v>10</v>
      </c>
      <c r="E651" t="inlineStr">
        <is>
          <t>FRA10</t>
        </is>
      </c>
      <c r="F651" t="inlineStr">
        <is>
          <t>Eduardo Camavinga - France</t>
        </is>
      </c>
      <c r="G651" t="inlineStr">
        <is>
          <t>Base</t>
        </is>
      </c>
      <c r="I651" t="n">
        <v>0</v>
      </c>
    </row>
    <row r="652" ht="20" customHeight="1">
      <c r="A652" t="inlineStr">
        <is>
          <t>Grupo I</t>
        </is>
      </c>
      <c r="B652" t="inlineStr">
        <is>
          <t>FRA</t>
        </is>
      </c>
      <c r="C652" t="inlineStr">
        <is>
          <t>France</t>
        </is>
      </c>
      <c r="D652" t="n">
        <v>11</v>
      </c>
      <c r="E652" t="inlineStr">
        <is>
          <t>FRA11</t>
        </is>
      </c>
      <c r="F652" t="inlineStr">
        <is>
          <t>Manu Kone - France</t>
        </is>
      </c>
      <c r="G652" t="inlineStr">
        <is>
          <t>Base</t>
        </is>
      </c>
      <c r="I652" t="n">
        <v>0</v>
      </c>
    </row>
    <row r="653" ht="20" customHeight="1">
      <c r="A653" t="inlineStr">
        <is>
          <t>Grupo I</t>
        </is>
      </c>
      <c r="B653" t="inlineStr">
        <is>
          <t>FRA</t>
        </is>
      </c>
      <c r="C653" t="inlineStr">
        <is>
          <t>France</t>
        </is>
      </c>
      <c r="D653" t="n">
        <v>12</v>
      </c>
      <c r="E653" t="inlineStr">
        <is>
          <t>FRA12</t>
        </is>
      </c>
      <c r="F653" t="inlineStr">
        <is>
          <t>Adrien Rabiot - France</t>
        </is>
      </c>
      <c r="G653" t="inlineStr">
        <is>
          <t>Base</t>
        </is>
      </c>
      <c r="I653" t="n">
        <v>0</v>
      </c>
    </row>
    <row r="654" ht="20" customHeight="1">
      <c r="A654" t="inlineStr">
        <is>
          <t>Grupo I</t>
        </is>
      </c>
      <c r="B654" t="inlineStr">
        <is>
          <t>FRA</t>
        </is>
      </c>
      <c r="C654" t="inlineStr">
        <is>
          <t>France</t>
        </is>
      </c>
      <c r="D654" t="n">
        <v>13</v>
      </c>
      <c r="E654" t="inlineStr">
        <is>
          <t>FRA13</t>
        </is>
      </c>
      <c r="F654" t="inlineStr">
        <is>
          <t>Team Photo - France</t>
        </is>
      </c>
      <c r="G654" t="inlineStr">
        <is>
          <t>Base</t>
        </is>
      </c>
      <c r="I654" t="n">
        <v>0</v>
      </c>
    </row>
    <row r="655" ht="20" customHeight="1">
      <c r="A655" t="inlineStr">
        <is>
          <t>Grupo I</t>
        </is>
      </c>
      <c r="B655" t="inlineStr">
        <is>
          <t>FRA</t>
        </is>
      </c>
      <c r="C655" t="inlineStr">
        <is>
          <t>France</t>
        </is>
      </c>
      <c r="D655" t="n">
        <v>14</v>
      </c>
      <c r="E655" t="inlineStr">
        <is>
          <t>FRA14</t>
        </is>
      </c>
      <c r="F655" t="inlineStr">
        <is>
          <t>Michael Olise - France</t>
        </is>
      </c>
      <c r="G655" t="inlineStr">
        <is>
          <t>Base</t>
        </is>
      </c>
      <c r="I655" t="n">
        <v>0</v>
      </c>
    </row>
    <row r="656" ht="20" customHeight="1">
      <c r="A656" t="inlineStr">
        <is>
          <t>Grupo I</t>
        </is>
      </c>
      <c r="B656" t="inlineStr">
        <is>
          <t>FRA</t>
        </is>
      </c>
      <c r="C656" t="inlineStr">
        <is>
          <t>France</t>
        </is>
      </c>
      <c r="D656" t="n">
        <v>15</v>
      </c>
      <c r="E656" t="inlineStr">
        <is>
          <t>FRA15</t>
        </is>
      </c>
      <c r="F656" t="inlineStr">
        <is>
          <t>Ousmane Dembele - France</t>
        </is>
      </c>
      <c r="G656" t="inlineStr">
        <is>
          <t>Base</t>
        </is>
      </c>
      <c r="I656" t="n">
        <v>0</v>
      </c>
    </row>
    <row r="657" ht="20" customHeight="1">
      <c r="A657" t="inlineStr">
        <is>
          <t>Grupo I</t>
        </is>
      </c>
      <c r="B657" t="inlineStr">
        <is>
          <t>FRA</t>
        </is>
      </c>
      <c r="C657" t="inlineStr">
        <is>
          <t>France</t>
        </is>
      </c>
      <c r="D657" t="n">
        <v>16</v>
      </c>
      <c r="E657" t="inlineStr">
        <is>
          <t>FRA16</t>
        </is>
      </c>
      <c r="F657" t="inlineStr">
        <is>
          <t>Bradley Barcola - France</t>
        </is>
      </c>
      <c r="G657" t="inlineStr">
        <is>
          <t>Base</t>
        </is>
      </c>
      <c r="I657" t="n">
        <v>0</v>
      </c>
    </row>
    <row r="658" ht="20" customHeight="1">
      <c r="A658" t="inlineStr">
        <is>
          <t>Grupo I</t>
        </is>
      </c>
      <c r="B658" t="inlineStr">
        <is>
          <t>FRA</t>
        </is>
      </c>
      <c r="C658" t="inlineStr">
        <is>
          <t>France</t>
        </is>
      </c>
      <c r="D658" t="n">
        <v>17</v>
      </c>
      <c r="E658" t="inlineStr">
        <is>
          <t>FRA17</t>
        </is>
      </c>
      <c r="F658" t="inlineStr">
        <is>
          <t>Désiré Doué - France</t>
        </is>
      </c>
      <c r="G658" t="inlineStr">
        <is>
          <t>Base</t>
        </is>
      </c>
      <c r="I658" t="n">
        <v>0</v>
      </c>
    </row>
    <row r="659" ht="20" customHeight="1">
      <c r="A659" t="inlineStr">
        <is>
          <t>Grupo I</t>
        </is>
      </c>
      <c r="B659" t="inlineStr">
        <is>
          <t>FRA</t>
        </is>
      </c>
      <c r="C659" t="inlineStr">
        <is>
          <t>France</t>
        </is>
      </c>
      <c r="D659" t="n">
        <v>18</v>
      </c>
      <c r="E659" t="inlineStr">
        <is>
          <t>FRA18</t>
        </is>
      </c>
      <c r="F659" t="inlineStr">
        <is>
          <t>Kingsley Coman - France</t>
        </is>
      </c>
      <c r="G659" t="inlineStr">
        <is>
          <t>Base</t>
        </is>
      </c>
      <c r="I659" t="n">
        <v>0</v>
      </c>
    </row>
    <row r="660" ht="20" customHeight="1">
      <c r="A660" t="inlineStr">
        <is>
          <t>Grupo I</t>
        </is>
      </c>
      <c r="B660" t="inlineStr">
        <is>
          <t>FRA</t>
        </is>
      </c>
      <c r="C660" t="inlineStr">
        <is>
          <t>France</t>
        </is>
      </c>
      <c r="D660" t="n">
        <v>19</v>
      </c>
      <c r="E660" t="inlineStr">
        <is>
          <t>FRA19</t>
        </is>
      </c>
      <c r="F660" t="inlineStr">
        <is>
          <t>Hugo Ekitike - France</t>
        </is>
      </c>
      <c r="G660" t="inlineStr">
        <is>
          <t>Base</t>
        </is>
      </c>
      <c r="I660" t="n">
        <v>0</v>
      </c>
    </row>
    <row r="661" ht="20" customHeight="1">
      <c r="A661" t="inlineStr">
        <is>
          <t>Grupo I</t>
        </is>
      </c>
      <c r="B661" t="inlineStr">
        <is>
          <t>FRA</t>
        </is>
      </c>
      <c r="C661" t="inlineStr">
        <is>
          <t>France</t>
        </is>
      </c>
      <c r="D661" t="n">
        <v>20</v>
      </c>
      <c r="E661" t="inlineStr">
        <is>
          <t>FRA20</t>
        </is>
      </c>
      <c r="F661" t="inlineStr">
        <is>
          <t>Kylian Mbappe - France</t>
        </is>
      </c>
      <c r="G661" t="inlineStr">
        <is>
          <t>Base</t>
        </is>
      </c>
      <c r="I661" t="n">
        <v>0</v>
      </c>
    </row>
    <row r="662" ht="20" customHeight="1">
      <c r="A662" t="inlineStr">
        <is>
          <t>Grupo I</t>
        </is>
      </c>
      <c r="B662" t="inlineStr">
        <is>
          <t>SEN</t>
        </is>
      </c>
      <c r="C662" t="inlineStr">
        <is>
          <t>Senegal</t>
        </is>
      </c>
      <c r="D662" t="n">
        <v>1</v>
      </c>
      <c r="E662" t="inlineStr">
        <is>
          <t>SEN1</t>
        </is>
      </c>
      <c r="F662" t="inlineStr">
        <is>
          <t>Team Logo - Senegal FOIL</t>
        </is>
      </c>
      <c r="G662" t="inlineStr">
        <is>
          <t>FOIL</t>
        </is>
      </c>
      <c r="I662" t="n">
        <v>0</v>
      </c>
    </row>
    <row r="663" ht="20" customHeight="1">
      <c r="A663" t="inlineStr">
        <is>
          <t>Grupo I</t>
        </is>
      </c>
      <c r="B663" t="inlineStr">
        <is>
          <t>SEN</t>
        </is>
      </c>
      <c r="C663" t="inlineStr">
        <is>
          <t>Senegal</t>
        </is>
      </c>
      <c r="D663" t="n">
        <v>2</v>
      </c>
      <c r="E663" t="inlineStr">
        <is>
          <t>SEN2</t>
        </is>
      </c>
      <c r="F663" t="inlineStr">
        <is>
          <t>Edouard Mendy - Senegal</t>
        </is>
      </c>
      <c r="G663" t="inlineStr">
        <is>
          <t>Base</t>
        </is>
      </c>
      <c r="I663" t="n">
        <v>0</v>
      </c>
    </row>
    <row r="664" ht="20" customHeight="1">
      <c r="A664" t="inlineStr">
        <is>
          <t>Grupo I</t>
        </is>
      </c>
      <c r="B664" t="inlineStr">
        <is>
          <t>SEN</t>
        </is>
      </c>
      <c r="C664" t="inlineStr">
        <is>
          <t>Senegal</t>
        </is>
      </c>
      <c r="D664" t="n">
        <v>3</v>
      </c>
      <c r="E664" t="inlineStr">
        <is>
          <t>SEN3</t>
        </is>
      </c>
      <c r="F664" t="inlineStr">
        <is>
          <t>Yehvann Diouf - Senegal</t>
        </is>
      </c>
      <c r="G664" t="inlineStr">
        <is>
          <t>Base</t>
        </is>
      </c>
      <c r="I664" t="n">
        <v>0</v>
      </c>
    </row>
    <row r="665" ht="20" customHeight="1">
      <c r="A665" t="inlineStr">
        <is>
          <t>Grupo I</t>
        </is>
      </c>
      <c r="B665" t="inlineStr">
        <is>
          <t>SEN</t>
        </is>
      </c>
      <c r="C665" t="inlineStr">
        <is>
          <t>Senegal</t>
        </is>
      </c>
      <c r="D665" t="n">
        <v>4</v>
      </c>
      <c r="E665" t="inlineStr">
        <is>
          <t>SEN4</t>
        </is>
      </c>
      <c r="F665" t="inlineStr">
        <is>
          <t>Moussa Niakhaté - Senegal</t>
        </is>
      </c>
      <c r="G665" t="inlineStr">
        <is>
          <t>Base</t>
        </is>
      </c>
      <c r="I665" t="n">
        <v>0</v>
      </c>
    </row>
    <row r="666" ht="20" customHeight="1">
      <c r="A666" t="inlineStr">
        <is>
          <t>Grupo I</t>
        </is>
      </c>
      <c r="B666" t="inlineStr">
        <is>
          <t>SEN</t>
        </is>
      </c>
      <c r="C666" t="inlineStr">
        <is>
          <t>Senegal</t>
        </is>
      </c>
      <c r="D666" t="n">
        <v>5</v>
      </c>
      <c r="E666" t="inlineStr">
        <is>
          <t>SEN5</t>
        </is>
      </c>
      <c r="F666" t="inlineStr">
        <is>
          <t>Abdoulaye Seck - Senegal</t>
        </is>
      </c>
      <c r="G666" t="inlineStr">
        <is>
          <t>Base</t>
        </is>
      </c>
      <c r="I666" t="n">
        <v>0</v>
      </c>
    </row>
    <row r="667" ht="20" customHeight="1">
      <c r="A667" t="inlineStr">
        <is>
          <t>Grupo I</t>
        </is>
      </c>
      <c r="B667" t="inlineStr">
        <is>
          <t>SEN</t>
        </is>
      </c>
      <c r="C667" t="inlineStr">
        <is>
          <t>Senegal</t>
        </is>
      </c>
      <c r="D667" t="n">
        <v>6</v>
      </c>
      <c r="E667" t="inlineStr">
        <is>
          <t>SEN6</t>
        </is>
      </c>
      <c r="F667" t="inlineStr">
        <is>
          <t>Ismail Jakobs - Senegal</t>
        </is>
      </c>
      <c r="G667" t="inlineStr">
        <is>
          <t>Base</t>
        </is>
      </c>
      <c r="I667" t="n">
        <v>0</v>
      </c>
    </row>
    <row r="668" ht="20" customHeight="1">
      <c r="A668" t="inlineStr">
        <is>
          <t>Grupo I</t>
        </is>
      </c>
      <c r="B668" t="inlineStr">
        <is>
          <t>SEN</t>
        </is>
      </c>
      <c r="C668" t="inlineStr">
        <is>
          <t>Senegal</t>
        </is>
      </c>
      <c r="D668" t="n">
        <v>7</v>
      </c>
      <c r="E668" t="inlineStr">
        <is>
          <t>SEN7</t>
        </is>
      </c>
      <c r="F668" t="inlineStr">
        <is>
          <t>El Hadji Malick Diouf - Senegal</t>
        </is>
      </c>
      <c r="G668" t="inlineStr">
        <is>
          <t>Base</t>
        </is>
      </c>
      <c r="I668" t="n">
        <v>0</v>
      </c>
    </row>
    <row r="669" ht="20" customHeight="1">
      <c r="A669" t="inlineStr">
        <is>
          <t>Grupo I</t>
        </is>
      </c>
      <c r="B669" t="inlineStr">
        <is>
          <t>SEN</t>
        </is>
      </c>
      <c r="C669" t="inlineStr">
        <is>
          <t>Senegal</t>
        </is>
      </c>
      <c r="D669" t="n">
        <v>8</v>
      </c>
      <c r="E669" t="inlineStr">
        <is>
          <t>SEN8</t>
        </is>
      </c>
      <c r="F669" t="inlineStr">
        <is>
          <t>Kalidou Koulibaly - Senegal</t>
        </is>
      </c>
      <c r="G669" t="inlineStr">
        <is>
          <t>Base</t>
        </is>
      </c>
      <c r="I669" t="n">
        <v>0</v>
      </c>
    </row>
    <row r="670" ht="20" customHeight="1">
      <c r="A670" t="inlineStr">
        <is>
          <t>Grupo I</t>
        </is>
      </c>
      <c r="B670" t="inlineStr">
        <is>
          <t>SEN</t>
        </is>
      </c>
      <c r="C670" t="inlineStr">
        <is>
          <t>Senegal</t>
        </is>
      </c>
      <c r="D670" t="n">
        <v>9</v>
      </c>
      <c r="E670" t="inlineStr">
        <is>
          <t>SEN9</t>
        </is>
      </c>
      <c r="F670" t="inlineStr">
        <is>
          <t>Idrissa Gana Gueye - Senegal</t>
        </is>
      </c>
      <c r="G670" t="inlineStr">
        <is>
          <t>Base</t>
        </is>
      </c>
      <c r="I670" t="n">
        <v>0</v>
      </c>
    </row>
    <row r="671" ht="20" customHeight="1">
      <c r="A671" t="inlineStr">
        <is>
          <t>Grupo I</t>
        </is>
      </c>
      <c r="B671" t="inlineStr">
        <is>
          <t>SEN</t>
        </is>
      </c>
      <c r="C671" t="inlineStr">
        <is>
          <t>Senegal</t>
        </is>
      </c>
      <c r="D671" t="n">
        <v>10</v>
      </c>
      <c r="E671" t="inlineStr">
        <is>
          <t>SEN10</t>
        </is>
      </c>
      <c r="F671" t="inlineStr">
        <is>
          <t>Pape Matar Sarr - Senegal</t>
        </is>
      </c>
      <c r="G671" t="inlineStr">
        <is>
          <t>Base</t>
        </is>
      </c>
      <c r="I671" t="n">
        <v>0</v>
      </c>
    </row>
    <row r="672" ht="20" customHeight="1">
      <c r="A672" t="inlineStr">
        <is>
          <t>Grupo I</t>
        </is>
      </c>
      <c r="B672" t="inlineStr">
        <is>
          <t>SEN</t>
        </is>
      </c>
      <c r="C672" t="inlineStr">
        <is>
          <t>Senegal</t>
        </is>
      </c>
      <c r="D672" t="n">
        <v>11</v>
      </c>
      <c r="E672" t="inlineStr">
        <is>
          <t>SEN11</t>
        </is>
      </c>
      <c r="F672" t="inlineStr">
        <is>
          <t>Pape Gueye - Senegal</t>
        </is>
      </c>
      <c r="G672" t="inlineStr">
        <is>
          <t>Base</t>
        </is>
      </c>
      <c r="I672" t="n">
        <v>0</v>
      </c>
    </row>
    <row r="673" ht="20" customHeight="1">
      <c r="A673" t="inlineStr">
        <is>
          <t>Grupo I</t>
        </is>
      </c>
      <c r="B673" t="inlineStr">
        <is>
          <t>SEN</t>
        </is>
      </c>
      <c r="C673" t="inlineStr">
        <is>
          <t>Senegal</t>
        </is>
      </c>
      <c r="D673" t="n">
        <v>12</v>
      </c>
      <c r="E673" t="inlineStr">
        <is>
          <t>SEN12</t>
        </is>
      </c>
      <c r="F673" t="inlineStr">
        <is>
          <t>Habib Diarra - Senegal</t>
        </is>
      </c>
      <c r="G673" t="inlineStr">
        <is>
          <t>Base</t>
        </is>
      </c>
      <c r="I673" t="n">
        <v>0</v>
      </c>
    </row>
    <row r="674" ht="20" customHeight="1">
      <c r="A674" t="inlineStr">
        <is>
          <t>Grupo I</t>
        </is>
      </c>
      <c r="B674" t="inlineStr">
        <is>
          <t>SEN</t>
        </is>
      </c>
      <c r="C674" t="inlineStr">
        <is>
          <t>Senegal</t>
        </is>
      </c>
      <c r="D674" t="n">
        <v>13</v>
      </c>
      <c r="E674" t="inlineStr">
        <is>
          <t>SEN13</t>
        </is>
      </c>
      <c r="F674" t="inlineStr">
        <is>
          <t>Team Photo - Senegal</t>
        </is>
      </c>
      <c r="G674" t="inlineStr">
        <is>
          <t>Base</t>
        </is>
      </c>
      <c r="I674" t="n">
        <v>0</v>
      </c>
    </row>
    <row r="675" ht="20" customHeight="1">
      <c r="A675" t="inlineStr">
        <is>
          <t>Grupo I</t>
        </is>
      </c>
      <c r="B675" t="inlineStr">
        <is>
          <t>SEN</t>
        </is>
      </c>
      <c r="C675" t="inlineStr">
        <is>
          <t>Senegal</t>
        </is>
      </c>
      <c r="D675" t="n">
        <v>14</v>
      </c>
      <c r="E675" t="inlineStr">
        <is>
          <t>SEN14</t>
        </is>
      </c>
      <c r="F675" t="inlineStr">
        <is>
          <t>Lamine Camara - Senegal</t>
        </is>
      </c>
      <c r="G675" t="inlineStr">
        <is>
          <t>Base</t>
        </is>
      </c>
      <c r="I675" t="n">
        <v>0</v>
      </c>
    </row>
    <row r="676" ht="20" customHeight="1">
      <c r="A676" t="inlineStr">
        <is>
          <t>Grupo I</t>
        </is>
      </c>
      <c r="B676" t="inlineStr">
        <is>
          <t>SEN</t>
        </is>
      </c>
      <c r="C676" t="inlineStr">
        <is>
          <t>Senegal</t>
        </is>
      </c>
      <c r="D676" t="n">
        <v>15</v>
      </c>
      <c r="E676" t="inlineStr">
        <is>
          <t>SEN15</t>
        </is>
      </c>
      <c r="F676" t="inlineStr">
        <is>
          <t>Sadio Mane - Senegal</t>
        </is>
      </c>
      <c r="G676" t="inlineStr">
        <is>
          <t>Base</t>
        </is>
      </c>
      <c r="I676" t="n">
        <v>0</v>
      </c>
    </row>
    <row r="677" ht="20" customHeight="1">
      <c r="A677" t="inlineStr">
        <is>
          <t>Grupo I</t>
        </is>
      </c>
      <c r="B677" t="inlineStr">
        <is>
          <t>SEN</t>
        </is>
      </c>
      <c r="C677" t="inlineStr">
        <is>
          <t>Senegal</t>
        </is>
      </c>
      <c r="D677" t="n">
        <v>16</v>
      </c>
      <c r="E677" t="inlineStr">
        <is>
          <t>SEN16</t>
        </is>
      </c>
      <c r="F677" t="inlineStr">
        <is>
          <t>Ismaïla Sarr - Senegal</t>
        </is>
      </c>
      <c r="G677" t="inlineStr">
        <is>
          <t>Base</t>
        </is>
      </c>
      <c r="I677" t="n">
        <v>0</v>
      </c>
    </row>
    <row r="678" ht="20" customHeight="1">
      <c r="A678" t="inlineStr">
        <is>
          <t>Grupo I</t>
        </is>
      </c>
      <c r="B678" t="inlineStr">
        <is>
          <t>SEN</t>
        </is>
      </c>
      <c r="C678" t="inlineStr">
        <is>
          <t>Senegal</t>
        </is>
      </c>
      <c r="D678" t="n">
        <v>17</v>
      </c>
      <c r="E678" t="inlineStr">
        <is>
          <t>SEN17</t>
        </is>
      </c>
      <c r="F678" t="inlineStr">
        <is>
          <t>Boulaye Dia - Senegal</t>
        </is>
      </c>
      <c r="G678" t="inlineStr">
        <is>
          <t>Base</t>
        </is>
      </c>
      <c r="I678" t="n">
        <v>0</v>
      </c>
    </row>
    <row r="679" ht="20" customHeight="1">
      <c r="A679" t="inlineStr">
        <is>
          <t>Grupo I</t>
        </is>
      </c>
      <c r="B679" t="inlineStr">
        <is>
          <t>SEN</t>
        </is>
      </c>
      <c r="C679" t="inlineStr">
        <is>
          <t>Senegal</t>
        </is>
      </c>
      <c r="D679" t="n">
        <v>18</v>
      </c>
      <c r="E679" t="inlineStr">
        <is>
          <t>SEN18</t>
        </is>
      </c>
      <c r="F679" t="inlineStr">
        <is>
          <t>Iliman Ndiaye - Senegal</t>
        </is>
      </c>
      <c r="G679" t="inlineStr">
        <is>
          <t>Base</t>
        </is>
      </c>
      <c r="I679" t="n">
        <v>0</v>
      </c>
    </row>
    <row r="680" ht="20" customHeight="1">
      <c r="A680" t="inlineStr">
        <is>
          <t>Grupo I</t>
        </is>
      </c>
      <c r="B680" t="inlineStr">
        <is>
          <t>SEN</t>
        </is>
      </c>
      <c r="C680" t="inlineStr">
        <is>
          <t>Senegal</t>
        </is>
      </c>
      <c r="D680" t="n">
        <v>19</v>
      </c>
      <c r="E680" t="inlineStr">
        <is>
          <t>SEN19</t>
        </is>
      </c>
      <c r="F680" t="inlineStr">
        <is>
          <t>Nicolas Jackson - Senegal</t>
        </is>
      </c>
      <c r="G680" t="inlineStr">
        <is>
          <t>Base</t>
        </is>
      </c>
      <c r="I680" t="n">
        <v>0</v>
      </c>
    </row>
    <row r="681" ht="20" customHeight="1">
      <c r="A681" t="inlineStr">
        <is>
          <t>Grupo I</t>
        </is>
      </c>
      <c r="B681" t="inlineStr">
        <is>
          <t>SEN</t>
        </is>
      </c>
      <c r="C681" t="inlineStr">
        <is>
          <t>Senegal</t>
        </is>
      </c>
      <c r="D681" t="n">
        <v>20</v>
      </c>
      <c r="E681" t="inlineStr">
        <is>
          <t>SEN20</t>
        </is>
      </c>
      <c r="F681" t="inlineStr">
        <is>
          <t>Krepin Diatta - Senegal</t>
        </is>
      </c>
      <c r="G681" t="inlineStr">
        <is>
          <t>Base</t>
        </is>
      </c>
      <c r="I681" t="n">
        <v>0</v>
      </c>
    </row>
    <row r="682" ht="20" customHeight="1">
      <c r="A682" t="inlineStr">
        <is>
          <t>Grupo I</t>
        </is>
      </c>
      <c r="B682" t="inlineStr">
        <is>
          <t>IRQ</t>
        </is>
      </c>
      <c r="C682" t="inlineStr">
        <is>
          <t>Iraq</t>
        </is>
      </c>
      <c r="D682" t="n">
        <v>1</v>
      </c>
      <c r="E682" t="inlineStr">
        <is>
          <t>IRQ1</t>
        </is>
      </c>
      <c r="F682" t="inlineStr">
        <is>
          <t>Team Logo - Iraq FOIL</t>
        </is>
      </c>
      <c r="G682" t="inlineStr">
        <is>
          <t>FOIL</t>
        </is>
      </c>
      <c r="I682" t="n">
        <v>0</v>
      </c>
    </row>
    <row r="683" ht="20" customHeight="1">
      <c r="A683" t="inlineStr">
        <is>
          <t>Grupo I</t>
        </is>
      </c>
      <c r="B683" t="inlineStr">
        <is>
          <t>IRQ</t>
        </is>
      </c>
      <c r="C683" t="inlineStr">
        <is>
          <t>Iraq</t>
        </is>
      </c>
      <c r="D683" t="n">
        <v>2</v>
      </c>
      <c r="E683" t="inlineStr">
        <is>
          <t>IRQ2</t>
        </is>
      </c>
      <c r="F683" t="inlineStr">
        <is>
          <t>Jalal Hassan - Iraq</t>
        </is>
      </c>
      <c r="G683" t="inlineStr">
        <is>
          <t>Base</t>
        </is>
      </c>
      <c r="I683" t="n">
        <v>0</v>
      </c>
    </row>
    <row r="684" ht="20" customHeight="1">
      <c r="A684" t="inlineStr">
        <is>
          <t>Grupo I</t>
        </is>
      </c>
      <c r="B684" t="inlineStr">
        <is>
          <t>IRQ</t>
        </is>
      </c>
      <c r="C684" t="inlineStr">
        <is>
          <t>Iraq</t>
        </is>
      </c>
      <c r="D684" t="n">
        <v>3</v>
      </c>
      <c r="E684" t="inlineStr">
        <is>
          <t>IRQ3</t>
        </is>
      </c>
      <c r="F684" t="inlineStr">
        <is>
          <t>Rebin Sulaka - Iraq</t>
        </is>
      </c>
      <c r="G684" t="inlineStr">
        <is>
          <t>Base</t>
        </is>
      </c>
      <c r="I684" t="n">
        <v>0</v>
      </c>
    </row>
    <row r="685" ht="20" customHeight="1">
      <c r="A685" t="inlineStr">
        <is>
          <t>Grupo I</t>
        </is>
      </c>
      <c r="B685" t="inlineStr">
        <is>
          <t>IRQ</t>
        </is>
      </c>
      <c r="C685" t="inlineStr">
        <is>
          <t>Iraq</t>
        </is>
      </c>
      <c r="D685" t="n">
        <v>4</v>
      </c>
      <c r="E685" t="inlineStr">
        <is>
          <t>IRQ4</t>
        </is>
      </c>
      <c r="F685" t="inlineStr">
        <is>
          <t>Hussein Ali - Iraq</t>
        </is>
      </c>
      <c r="G685" t="inlineStr">
        <is>
          <t>Base</t>
        </is>
      </c>
      <c r="I685" t="n">
        <v>0</v>
      </c>
    </row>
    <row r="686" ht="20" customHeight="1">
      <c r="A686" t="inlineStr">
        <is>
          <t>Grupo I</t>
        </is>
      </c>
      <c r="B686" t="inlineStr">
        <is>
          <t>IRQ</t>
        </is>
      </c>
      <c r="C686" t="inlineStr">
        <is>
          <t>Iraq</t>
        </is>
      </c>
      <c r="D686" t="n">
        <v>5</v>
      </c>
      <c r="E686" t="inlineStr">
        <is>
          <t>IRQ5</t>
        </is>
      </c>
      <c r="F686" t="inlineStr">
        <is>
          <t>Akam Hashem - Iraq</t>
        </is>
      </c>
      <c r="G686" t="inlineStr">
        <is>
          <t>Base</t>
        </is>
      </c>
      <c r="I686" t="n">
        <v>0</v>
      </c>
    </row>
    <row r="687" ht="20" customHeight="1">
      <c r="A687" t="inlineStr">
        <is>
          <t>Grupo I</t>
        </is>
      </c>
      <c r="B687" t="inlineStr">
        <is>
          <t>IRQ</t>
        </is>
      </c>
      <c r="C687" t="inlineStr">
        <is>
          <t>Iraq</t>
        </is>
      </c>
      <c r="D687" t="n">
        <v>6</v>
      </c>
      <c r="E687" t="inlineStr">
        <is>
          <t>IRQ6</t>
        </is>
      </c>
      <c r="F687" t="inlineStr">
        <is>
          <t>Merchas Doski - Iraq</t>
        </is>
      </c>
      <c r="G687" t="inlineStr">
        <is>
          <t>Base</t>
        </is>
      </c>
      <c r="I687" t="n">
        <v>0</v>
      </c>
    </row>
    <row r="688" ht="20" customHeight="1">
      <c r="A688" t="inlineStr">
        <is>
          <t>Grupo I</t>
        </is>
      </c>
      <c r="B688" t="inlineStr">
        <is>
          <t>IRQ</t>
        </is>
      </c>
      <c r="C688" t="inlineStr">
        <is>
          <t>Iraq</t>
        </is>
      </c>
      <c r="D688" t="n">
        <v>7</v>
      </c>
      <c r="E688" t="inlineStr">
        <is>
          <t>IRQ7</t>
        </is>
      </c>
      <c r="F688" t="inlineStr">
        <is>
          <t>Zaid Tahseen - Iraq</t>
        </is>
      </c>
      <c r="G688" t="inlineStr">
        <is>
          <t>Base</t>
        </is>
      </c>
      <c r="I688" t="n">
        <v>0</v>
      </c>
    </row>
    <row r="689" ht="20" customHeight="1">
      <c r="A689" t="inlineStr">
        <is>
          <t>Grupo I</t>
        </is>
      </c>
      <c r="B689" t="inlineStr">
        <is>
          <t>IRQ</t>
        </is>
      </c>
      <c r="C689" t="inlineStr">
        <is>
          <t>Iraq</t>
        </is>
      </c>
      <c r="D689" t="n">
        <v>8</v>
      </c>
      <c r="E689" t="inlineStr">
        <is>
          <t>IRQ8</t>
        </is>
      </c>
      <c r="F689" t="inlineStr">
        <is>
          <t>Manaf Younis - Iraq</t>
        </is>
      </c>
      <c r="G689" t="inlineStr">
        <is>
          <t>Base</t>
        </is>
      </c>
      <c r="I689" t="n">
        <v>0</v>
      </c>
    </row>
    <row r="690" ht="20" customHeight="1">
      <c r="A690" t="inlineStr">
        <is>
          <t>Grupo I</t>
        </is>
      </c>
      <c r="B690" t="inlineStr">
        <is>
          <t>IRQ</t>
        </is>
      </c>
      <c r="C690" t="inlineStr">
        <is>
          <t>Iraq</t>
        </is>
      </c>
      <c r="D690" t="n">
        <v>9</v>
      </c>
      <c r="E690" t="inlineStr">
        <is>
          <t>IRQ9</t>
        </is>
      </c>
      <c r="F690" t="inlineStr">
        <is>
          <t>Zidane Iqbal - Iraq</t>
        </is>
      </c>
      <c r="G690" t="inlineStr">
        <is>
          <t>Base</t>
        </is>
      </c>
      <c r="I690" t="n">
        <v>0</v>
      </c>
    </row>
    <row r="691" ht="20" customHeight="1">
      <c r="A691" t="inlineStr">
        <is>
          <t>Grupo I</t>
        </is>
      </c>
      <c r="B691" t="inlineStr">
        <is>
          <t>IRQ</t>
        </is>
      </c>
      <c r="C691" t="inlineStr">
        <is>
          <t>Iraq</t>
        </is>
      </c>
      <c r="D691" t="n">
        <v>10</v>
      </c>
      <c r="E691" t="inlineStr">
        <is>
          <t>IRQ10</t>
        </is>
      </c>
      <c r="F691" t="inlineStr">
        <is>
          <t>Amir Al-Ammari - Iraq</t>
        </is>
      </c>
      <c r="G691" t="inlineStr">
        <is>
          <t>Base</t>
        </is>
      </c>
      <c r="I691" t="n">
        <v>0</v>
      </c>
    </row>
    <row r="692" ht="20" customHeight="1">
      <c r="A692" t="inlineStr">
        <is>
          <t>Grupo I</t>
        </is>
      </c>
      <c r="B692" t="inlineStr">
        <is>
          <t>IRQ</t>
        </is>
      </c>
      <c r="C692" t="inlineStr">
        <is>
          <t>Iraq</t>
        </is>
      </c>
      <c r="D692" t="n">
        <v>11</v>
      </c>
      <c r="E692" t="inlineStr">
        <is>
          <t>IRQ11</t>
        </is>
      </c>
      <c r="F692" t="inlineStr">
        <is>
          <t>Ibrahim Bavesh - Iraq</t>
        </is>
      </c>
      <c r="G692" t="inlineStr">
        <is>
          <t>Base</t>
        </is>
      </c>
      <c r="I692" t="n">
        <v>0</v>
      </c>
    </row>
    <row r="693" ht="20" customHeight="1">
      <c r="A693" t="inlineStr">
        <is>
          <t>Grupo I</t>
        </is>
      </c>
      <c r="B693" t="inlineStr">
        <is>
          <t>IRQ</t>
        </is>
      </c>
      <c r="C693" t="inlineStr">
        <is>
          <t>Iraq</t>
        </is>
      </c>
      <c r="D693" t="n">
        <v>12</v>
      </c>
      <c r="E693" t="inlineStr">
        <is>
          <t>IRQ12</t>
        </is>
      </c>
      <c r="F693" t="inlineStr">
        <is>
          <t>Ali Jasim - Iraq</t>
        </is>
      </c>
      <c r="G693" t="inlineStr">
        <is>
          <t>Base</t>
        </is>
      </c>
      <c r="I693" t="n">
        <v>0</v>
      </c>
    </row>
    <row r="694" ht="20" customHeight="1">
      <c r="A694" t="inlineStr">
        <is>
          <t>Grupo I</t>
        </is>
      </c>
      <c r="B694" t="inlineStr">
        <is>
          <t>IRQ</t>
        </is>
      </c>
      <c r="C694" t="inlineStr">
        <is>
          <t>Iraq</t>
        </is>
      </c>
      <c r="D694" t="n">
        <v>13</v>
      </c>
      <c r="E694" t="inlineStr">
        <is>
          <t>IRQ13</t>
        </is>
      </c>
      <c r="F694" t="inlineStr">
        <is>
          <t>Team Photo - Iraq</t>
        </is>
      </c>
      <c r="G694" t="inlineStr">
        <is>
          <t>Base</t>
        </is>
      </c>
      <c r="I694" t="n">
        <v>0</v>
      </c>
    </row>
    <row r="695" ht="20" customHeight="1">
      <c r="A695" t="inlineStr">
        <is>
          <t>Grupo I</t>
        </is>
      </c>
      <c r="B695" t="inlineStr">
        <is>
          <t>IRQ</t>
        </is>
      </c>
      <c r="C695" t="inlineStr">
        <is>
          <t>Iraq</t>
        </is>
      </c>
      <c r="D695" t="n">
        <v>14</v>
      </c>
      <c r="E695" t="inlineStr">
        <is>
          <t>IRQ14</t>
        </is>
      </c>
      <c r="F695" t="inlineStr">
        <is>
          <t>Youssef Amyn - Iraq</t>
        </is>
      </c>
      <c r="G695" t="inlineStr">
        <is>
          <t>Base</t>
        </is>
      </c>
      <c r="I695" t="n">
        <v>0</v>
      </c>
    </row>
    <row r="696" ht="20" customHeight="1">
      <c r="A696" t="inlineStr">
        <is>
          <t>Grupo I</t>
        </is>
      </c>
      <c r="B696" t="inlineStr">
        <is>
          <t>IRQ</t>
        </is>
      </c>
      <c r="C696" t="inlineStr">
        <is>
          <t>Iraq</t>
        </is>
      </c>
      <c r="D696" t="n">
        <v>15</v>
      </c>
      <c r="E696" t="inlineStr">
        <is>
          <t>IRQ15</t>
        </is>
      </c>
      <c r="F696" t="inlineStr">
        <is>
          <t>Aimar Sher - Iraq</t>
        </is>
      </c>
      <c r="G696" t="inlineStr">
        <is>
          <t>Base</t>
        </is>
      </c>
      <c r="I696" t="n">
        <v>0</v>
      </c>
    </row>
    <row r="697" ht="20" customHeight="1">
      <c r="A697" t="inlineStr">
        <is>
          <t>Grupo I</t>
        </is>
      </c>
      <c r="B697" t="inlineStr">
        <is>
          <t>IRQ</t>
        </is>
      </c>
      <c r="C697" t="inlineStr">
        <is>
          <t>Iraq</t>
        </is>
      </c>
      <c r="D697" t="n">
        <v>16</v>
      </c>
      <c r="E697" t="inlineStr">
        <is>
          <t>IRQ16</t>
        </is>
      </c>
      <c r="F697" t="inlineStr">
        <is>
          <t>Marko Farji - Iraq</t>
        </is>
      </c>
      <c r="G697" t="inlineStr">
        <is>
          <t>Base</t>
        </is>
      </c>
      <c r="I697" t="n">
        <v>0</v>
      </c>
    </row>
    <row r="698" ht="20" customHeight="1">
      <c r="A698" t="inlineStr">
        <is>
          <t>Grupo I</t>
        </is>
      </c>
      <c r="B698" t="inlineStr">
        <is>
          <t>IRQ</t>
        </is>
      </c>
      <c r="C698" t="inlineStr">
        <is>
          <t>Iraq</t>
        </is>
      </c>
      <c r="D698" t="n">
        <v>17</v>
      </c>
      <c r="E698" t="inlineStr">
        <is>
          <t>IRQ17</t>
        </is>
      </c>
      <c r="F698" t="inlineStr">
        <is>
          <t>Osama Rashid - Iraq</t>
        </is>
      </c>
      <c r="G698" t="inlineStr">
        <is>
          <t>Base</t>
        </is>
      </c>
      <c r="I698" t="n">
        <v>0</v>
      </c>
    </row>
    <row r="699" ht="20" customHeight="1">
      <c r="A699" t="inlineStr">
        <is>
          <t>Grupo I</t>
        </is>
      </c>
      <c r="B699" t="inlineStr">
        <is>
          <t>IRQ</t>
        </is>
      </c>
      <c r="C699" t="inlineStr">
        <is>
          <t>Iraq</t>
        </is>
      </c>
      <c r="D699" t="n">
        <v>18</v>
      </c>
      <c r="E699" t="inlineStr">
        <is>
          <t>IRQ18</t>
        </is>
      </c>
      <c r="F699" t="inlineStr">
        <is>
          <t>Ali Al-Hamadi - Iraq</t>
        </is>
      </c>
      <c r="G699" t="inlineStr">
        <is>
          <t>Base</t>
        </is>
      </c>
      <c r="I699" t="n">
        <v>0</v>
      </c>
    </row>
    <row r="700" ht="20" customHeight="1">
      <c r="A700" t="inlineStr">
        <is>
          <t>Grupo I</t>
        </is>
      </c>
      <c r="B700" t="inlineStr">
        <is>
          <t>IRQ</t>
        </is>
      </c>
      <c r="C700" t="inlineStr">
        <is>
          <t>Iraq</t>
        </is>
      </c>
      <c r="D700" t="n">
        <v>19</v>
      </c>
      <c r="E700" t="inlineStr">
        <is>
          <t>IRQ19</t>
        </is>
      </c>
      <c r="F700" t="inlineStr">
        <is>
          <t>Aymen Hussein - Iraq</t>
        </is>
      </c>
      <c r="G700" t="inlineStr">
        <is>
          <t>Base</t>
        </is>
      </c>
      <c r="I700" t="n">
        <v>0</v>
      </c>
    </row>
    <row r="701" ht="20" customHeight="1">
      <c r="A701" t="inlineStr">
        <is>
          <t>Grupo I</t>
        </is>
      </c>
      <c r="B701" t="inlineStr">
        <is>
          <t>IRQ</t>
        </is>
      </c>
      <c r="C701" t="inlineStr">
        <is>
          <t>Iraq</t>
        </is>
      </c>
      <c r="D701" t="n">
        <v>20</v>
      </c>
      <c r="E701" t="inlineStr">
        <is>
          <t>IRQ20</t>
        </is>
      </c>
      <c r="F701" t="inlineStr">
        <is>
          <t>Mohanad Ali - Iraq</t>
        </is>
      </c>
      <c r="G701" t="inlineStr">
        <is>
          <t>Base</t>
        </is>
      </c>
      <c r="I701" t="n">
        <v>0</v>
      </c>
    </row>
    <row r="702" ht="20" customHeight="1">
      <c r="A702" t="inlineStr">
        <is>
          <t>Grupo I</t>
        </is>
      </c>
      <c r="B702" t="inlineStr">
        <is>
          <t>NOR</t>
        </is>
      </c>
      <c r="C702" t="inlineStr">
        <is>
          <t>Norway</t>
        </is>
      </c>
      <c r="D702" t="n">
        <v>1</v>
      </c>
      <c r="E702" t="inlineStr">
        <is>
          <t>NOR1</t>
        </is>
      </c>
      <c r="F702" t="inlineStr">
        <is>
          <t>Team Logo - Norway FOIL</t>
        </is>
      </c>
      <c r="G702" t="inlineStr">
        <is>
          <t>FOIL</t>
        </is>
      </c>
      <c r="I702" t="n">
        <v>0</v>
      </c>
    </row>
    <row r="703" ht="20" customHeight="1">
      <c r="A703" t="inlineStr">
        <is>
          <t>Grupo I</t>
        </is>
      </c>
      <c r="B703" t="inlineStr">
        <is>
          <t>NOR</t>
        </is>
      </c>
      <c r="C703" t="inlineStr">
        <is>
          <t>Norway</t>
        </is>
      </c>
      <c r="D703" t="n">
        <v>2</v>
      </c>
      <c r="E703" t="inlineStr">
        <is>
          <t>NOR2</t>
        </is>
      </c>
      <c r="F703" t="inlineStr">
        <is>
          <t>Orjan Nyland - Norway</t>
        </is>
      </c>
      <c r="G703" t="inlineStr">
        <is>
          <t>Base</t>
        </is>
      </c>
      <c r="I703" t="n">
        <v>0</v>
      </c>
    </row>
    <row r="704" ht="20" customHeight="1">
      <c r="A704" t="inlineStr">
        <is>
          <t>Grupo I</t>
        </is>
      </c>
      <c r="B704" t="inlineStr">
        <is>
          <t>NOR</t>
        </is>
      </c>
      <c r="C704" t="inlineStr">
        <is>
          <t>Norway</t>
        </is>
      </c>
      <c r="D704" t="n">
        <v>3</v>
      </c>
      <c r="E704" t="inlineStr">
        <is>
          <t>NOR3</t>
        </is>
      </c>
      <c r="F704" t="inlineStr">
        <is>
          <t>Julian Ryerson - Norway</t>
        </is>
      </c>
      <c r="G704" t="inlineStr">
        <is>
          <t>Base</t>
        </is>
      </c>
      <c r="I704" t="n">
        <v>0</v>
      </c>
    </row>
    <row r="705" ht="20" customHeight="1">
      <c r="A705" t="inlineStr">
        <is>
          <t>Grupo I</t>
        </is>
      </c>
      <c r="B705" t="inlineStr">
        <is>
          <t>NOR</t>
        </is>
      </c>
      <c r="C705" t="inlineStr">
        <is>
          <t>Norway</t>
        </is>
      </c>
      <c r="D705" t="n">
        <v>4</v>
      </c>
      <c r="E705" t="inlineStr">
        <is>
          <t>NOR4</t>
        </is>
      </c>
      <c r="F705" t="inlineStr">
        <is>
          <t>Leo Ostigård - Norway</t>
        </is>
      </c>
      <c r="G705" t="inlineStr">
        <is>
          <t>Base</t>
        </is>
      </c>
      <c r="I705" t="n">
        <v>0</v>
      </c>
    </row>
    <row r="706" ht="20" customHeight="1">
      <c r="A706" t="inlineStr">
        <is>
          <t>Grupo I</t>
        </is>
      </c>
      <c r="B706" t="inlineStr">
        <is>
          <t>NOR</t>
        </is>
      </c>
      <c r="C706" t="inlineStr">
        <is>
          <t>Norway</t>
        </is>
      </c>
      <c r="D706" t="n">
        <v>5</v>
      </c>
      <c r="E706" t="inlineStr">
        <is>
          <t>NOR5</t>
        </is>
      </c>
      <c r="F706" t="inlineStr">
        <is>
          <t>Kristoffer Vassbakk Ajer - Norway</t>
        </is>
      </c>
      <c r="G706" t="inlineStr">
        <is>
          <t>Base</t>
        </is>
      </c>
      <c r="I706" t="n">
        <v>0</v>
      </c>
    </row>
    <row r="707" ht="20" customHeight="1">
      <c r="A707" t="inlineStr">
        <is>
          <t>Grupo I</t>
        </is>
      </c>
      <c r="B707" t="inlineStr">
        <is>
          <t>NOR</t>
        </is>
      </c>
      <c r="C707" t="inlineStr">
        <is>
          <t>Norway</t>
        </is>
      </c>
      <c r="D707" t="n">
        <v>6</v>
      </c>
      <c r="E707" t="inlineStr">
        <is>
          <t>NOR6</t>
        </is>
      </c>
      <c r="F707" t="inlineStr">
        <is>
          <t>Marcus Holmgren Pedersen - Norway</t>
        </is>
      </c>
      <c r="G707" t="inlineStr">
        <is>
          <t>Base</t>
        </is>
      </c>
      <c r="I707" t="n">
        <v>0</v>
      </c>
    </row>
    <row r="708" ht="20" customHeight="1">
      <c r="A708" t="inlineStr">
        <is>
          <t>Grupo I</t>
        </is>
      </c>
      <c r="B708" t="inlineStr">
        <is>
          <t>NOR</t>
        </is>
      </c>
      <c r="C708" t="inlineStr">
        <is>
          <t>Norway</t>
        </is>
      </c>
      <c r="D708" t="n">
        <v>7</v>
      </c>
      <c r="E708" t="inlineStr">
        <is>
          <t>NOR7</t>
        </is>
      </c>
      <c r="F708" t="inlineStr">
        <is>
          <t>David Møller Wolfe - Norway</t>
        </is>
      </c>
      <c r="G708" t="inlineStr">
        <is>
          <t>Base</t>
        </is>
      </c>
      <c r="I708" t="n">
        <v>0</v>
      </c>
    </row>
    <row r="709" ht="20" customHeight="1">
      <c r="A709" t="inlineStr">
        <is>
          <t>Grupo I</t>
        </is>
      </c>
      <c r="B709" t="inlineStr">
        <is>
          <t>NOR</t>
        </is>
      </c>
      <c r="C709" t="inlineStr">
        <is>
          <t>Norway</t>
        </is>
      </c>
      <c r="D709" t="n">
        <v>8</v>
      </c>
      <c r="E709" t="inlineStr">
        <is>
          <t>NOR8</t>
        </is>
      </c>
      <c r="F709" t="inlineStr">
        <is>
          <t>Torbjørn Heggem - Norway</t>
        </is>
      </c>
      <c r="G709" t="inlineStr">
        <is>
          <t>Base</t>
        </is>
      </c>
      <c r="I709" t="n">
        <v>0</v>
      </c>
    </row>
    <row r="710" ht="20" customHeight="1">
      <c r="A710" t="inlineStr">
        <is>
          <t>Grupo I</t>
        </is>
      </c>
      <c r="B710" t="inlineStr">
        <is>
          <t>NOR</t>
        </is>
      </c>
      <c r="C710" t="inlineStr">
        <is>
          <t>Norway</t>
        </is>
      </c>
      <c r="D710" t="n">
        <v>9</v>
      </c>
      <c r="E710" t="inlineStr">
        <is>
          <t>NOR9</t>
        </is>
      </c>
      <c r="F710" t="inlineStr">
        <is>
          <t>Morten Thorsby - Norway</t>
        </is>
      </c>
      <c r="G710" t="inlineStr">
        <is>
          <t>Base</t>
        </is>
      </c>
      <c r="I710" t="n">
        <v>0</v>
      </c>
    </row>
    <row r="711" ht="20" customHeight="1">
      <c r="A711" t="inlineStr">
        <is>
          <t>Grupo I</t>
        </is>
      </c>
      <c r="B711" t="inlineStr">
        <is>
          <t>NOR</t>
        </is>
      </c>
      <c r="C711" t="inlineStr">
        <is>
          <t>Norway</t>
        </is>
      </c>
      <c r="D711" t="n">
        <v>10</v>
      </c>
      <c r="E711" t="inlineStr">
        <is>
          <t>NOR10</t>
        </is>
      </c>
      <c r="F711" t="inlineStr">
        <is>
          <t>Martin Ødegaard - Norway</t>
        </is>
      </c>
      <c r="G711" t="inlineStr">
        <is>
          <t>Base</t>
        </is>
      </c>
      <c r="I711" t="n">
        <v>0</v>
      </c>
    </row>
    <row r="712" ht="20" customHeight="1">
      <c r="A712" t="inlineStr">
        <is>
          <t>Grupo I</t>
        </is>
      </c>
      <c r="B712" t="inlineStr">
        <is>
          <t>NOR</t>
        </is>
      </c>
      <c r="C712" t="inlineStr">
        <is>
          <t>Norway</t>
        </is>
      </c>
      <c r="D712" t="n">
        <v>11</v>
      </c>
      <c r="E712" t="inlineStr">
        <is>
          <t>NOR11</t>
        </is>
      </c>
      <c r="F712" t="inlineStr">
        <is>
          <t>Sander Berge - Norway</t>
        </is>
      </c>
      <c r="G712" t="inlineStr">
        <is>
          <t>Base</t>
        </is>
      </c>
      <c r="I712" t="n">
        <v>0</v>
      </c>
    </row>
    <row r="713" ht="20" customHeight="1">
      <c r="A713" t="inlineStr">
        <is>
          <t>Grupo I</t>
        </is>
      </c>
      <c r="B713" t="inlineStr">
        <is>
          <t>NOR</t>
        </is>
      </c>
      <c r="C713" t="inlineStr">
        <is>
          <t>Norway</t>
        </is>
      </c>
      <c r="D713" t="n">
        <v>12</v>
      </c>
      <c r="E713" t="inlineStr">
        <is>
          <t>NOR12</t>
        </is>
      </c>
      <c r="F713" t="inlineStr">
        <is>
          <t>Andreas Schjelderup - Norway</t>
        </is>
      </c>
      <c r="G713" t="inlineStr">
        <is>
          <t>Base</t>
        </is>
      </c>
      <c r="I713" t="n">
        <v>0</v>
      </c>
    </row>
    <row r="714" ht="20" customHeight="1">
      <c r="A714" t="inlineStr">
        <is>
          <t>Grupo I</t>
        </is>
      </c>
      <c r="B714" t="inlineStr">
        <is>
          <t>NOR</t>
        </is>
      </c>
      <c r="C714" t="inlineStr">
        <is>
          <t>Norway</t>
        </is>
      </c>
      <c r="D714" t="n">
        <v>13</v>
      </c>
      <c r="E714" t="inlineStr">
        <is>
          <t>NOR13</t>
        </is>
      </c>
      <c r="F714" t="inlineStr">
        <is>
          <t>Team Photo - Norway</t>
        </is>
      </c>
      <c r="G714" t="inlineStr">
        <is>
          <t>Base</t>
        </is>
      </c>
      <c r="I714" t="n">
        <v>0</v>
      </c>
    </row>
    <row r="715" ht="20" customHeight="1">
      <c r="A715" t="inlineStr">
        <is>
          <t>Grupo I</t>
        </is>
      </c>
      <c r="B715" t="inlineStr">
        <is>
          <t>NOR</t>
        </is>
      </c>
      <c r="C715" t="inlineStr">
        <is>
          <t>Norway</t>
        </is>
      </c>
      <c r="D715" t="n">
        <v>14</v>
      </c>
      <c r="E715" t="inlineStr">
        <is>
          <t>NOR14</t>
        </is>
      </c>
      <c r="F715" t="inlineStr">
        <is>
          <t>Patrick Berg - Norway</t>
        </is>
      </c>
      <c r="G715" t="inlineStr">
        <is>
          <t>Base</t>
        </is>
      </c>
      <c r="I715" t="n">
        <v>0</v>
      </c>
    </row>
    <row r="716" ht="20" customHeight="1">
      <c r="A716" t="inlineStr">
        <is>
          <t>Grupo I</t>
        </is>
      </c>
      <c r="B716" t="inlineStr">
        <is>
          <t>NOR</t>
        </is>
      </c>
      <c r="C716" t="inlineStr">
        <is>
          <t>Norway</t>
        </is>
      </c>
      <c r="D716" t="n">
        <v>15</v>
      </c>
      <c r="E716" t="inlineStr">
        <is>
          <t>NOR15</t>
        </is>
      </c>
      <c r="F716" t="inlineStr">
        <is>
          <t>Erling Haaland - Norway</t>
        </is>
      </c>
      <c r="G716" t="inlineStr">
        <is>
          <t>Base</t>
        </is>
      </c>
      <c r="I716" t="n">
        <v>0</v>
      </c>
    </row>
    <row r="717" ht="20" customHeight="1">
      <c r="A717" t="inlineStr">
        <is>
          <t>Grupo I</t>
        </is>
      </c>
      <c r="B717" t="inlineStr">
        <is>
          <t>NOR</t>
        </is>
      </c>
      <c r="C717" t="inlineStr">
        <is>
          <t>Norway</t>
        </is>
      </c>
      <c r="D717" t="n">
        <v>16</v>
      </c>
      <c r="E717" t="inlineStr">
        <is>
          <t>NOR16</t>
        </is>
      </c>
      <c r="F717" t="inlineStr">
        <is>
          <t>Alexander Sørloth - Norway</t>
        </is>
      </c>
      <c r="G717" t="inlineStr">
        <is>
          <t>Base</t>
        </is>
      </c>
      <c r="I717" t="n">
        <v>0</v>
      </c>
    </row>
    <row r="718" ht="20" customHeight="1">
      <c r="A718" t="inlineStr">
        <is>
          <t>Grupo I</t>
        </is>
      </c>
      <c r="B718" t="inlineStr">
        <is>
          <t>NOR</t>
        </is>
      </c>
      <c r="C718" t="inlineStr">
        <is>
          <t>Norway</t>
        </is>
      </c>
      <c r="D718" t="n">
        <v>17</v>
      </c>
      <c r="E718" t="inlineStr">
        <is>
          <t>NOR17</t>
        </is>
      </c>
      <c r="F718" t="inlineStr">
        <is>
          <t>Aron Dønnum - Norway</t>
        </is>
      </c>
      <c r="G718" t="inlineStr">
        <is>
          <t>Base</t>
        </is>
      </c>
      <c r="I718" t="n">
        <v>0</v>
      </c>
    </row>
    <row r="719" ht="20" customHeight="1">
      <c r="A719" t="inlineStr">
        <is>
          <t>Grupo I</t>
        </is>
      </c>
      <c r="B719" t="inlineStr">
        <is>
          <t>NOR</t>
        </is>
      </c>
      <c r="C719" t="inlineStr">
        <is>
          <t>Norway</t>
        </is>
      </c>
      <c r="D719" t="n">
        <v>18</v>
      </c>
      <c r="E719" t="inlineStr">
        <is>
          <t>NOR18</t>
        </is>
      </c>
      <c r="F719" t="inlineStr">
        <is>
          <t>Jorgen Strand Larsen - Norway</t>
        </is>
      </c>
      <c r="G719" t="inlineStr">
        <is>
          <t>Base</t>
        </is>
      </c>
      <c r="I719" t="n">
        <v>0</v>
      </c>
    </row>
    <row r="720" ht="20" customHeight="1">
      <c r="A720" t="inlineStr">
        <is>
          <t>Grupo I</t>
        </is>
      </c>
      <c r="B720" t="inlineStr">
        <is>
          <t>NOR</t>
        </is>
      </c>
      <c r="C720" t="inlineStr">
        <is>
          <t>Norway</t>
        </is>
      </c>
      <c r="D720" t="n">
        <v>19</v>
      </c>
      <c r="E720" t="inlineStr">
        <is>
          <t>NOR19</t>
        </is>
      </c>
      <c r="F720" t="inlineStr">
        <is>
          <t>Antonio Nusa - Norway</t>
        </is>
      </c>
      <c r="G720" t="inlineStr">
        <is>
          <t>Base</t>
        </is>
      </c>
      <c r="I720" t="n">
        <v>0</v>
      </c>
    </row>
    <row r="721" ht="20" customHeight="1">
      <c r="A721" t="inlineStr">
        <is>
          <t>Grupo I</t>
        </is>
      </c>
      <c r="B721" t="inlineStr">
        <is>
          <t>NOR</t>
        </is>
      </c>
      <c r="C721" t="inlineStr">
        <is>
          <t>Norway</t>
        </is>
      </c>
      <c r="D721" t="n">
        <v>20</v>
      </c>
      <c r="E721" t="inlineStr">
        <is>
          <t>NOR20</t>
        </is>
      </c>
      <c r="F721" t="inlineStr">
        <is>
          <t>Oscar Bobb - Norway</t>
        </is>
      </c>
      <c r="G721" t="inlineStr">
        <is>
          <t>Base</t>
        </is>
      </c>
      <c r="I721" t="n">
        <v>0</v>
      </c>
    </row>
    <row r="722" ht="20" customHeight="1">
      <c r="A722" t="inlineStr">
        <is>
          <t>Grupo J</t>
        </is>
      </c>
      <c r="B722" t="inlineStr">
        <is>
          <t>ARG</t>
        </is>
      </c>
      <c r="C722" t="inlineStr">
        <is>
          <t>Argentina</t>
        </is>
      </c>
      <c r="D722" t="n">
        <v>1</v>
      </c>
      <c r="E722" t="inlineStr">
        <is>
          <t>ARG1</t>
        </is>
      </c>
      <c r="F722" t="inlineStr">
        <is>
          <t>Team Logo - Argentina FOIL</t>
        </is>
      </c>
      <c r="G722" t="inlineStr">
        <is>
          <t>FOIL</t>
        </is>
      </c>
      <c r="I722" t="n">
        <v>0</v>
      </c>
    </row>
    <row r="723" ht="20" customHeight="1">
      <c r="A723" t="inlineStr">
        <is>
          <t>Grupo J</t>
        </is>
      </c>
      <c r="B723" t="inlineStr">
        <is>
          <t>ARG</t>
        </is>
      </c>
      <c r="C723" t="inlineStr">
        <is>
          <t>Argentina</t>
        </is>
      </c>
      <c r="D723" t="n">
        <v>2</v>
      </c>
      <c r="E723" t="inlineStr">
        <is>
          <t>ARG2</t>
        </is>
      </c>
      <c r="F723" t="inlineStr">
        <is>
          <t>Emiliano Martinez - Argentina</t>
        </is>
      </c>
      <c r="G723" t="inlineStr">
        <is>
          <t>Base</t>
        </is>
      </c>
      <c r="I723" t="n">
        <v>0</v>
      </c>
    </row>
    <row r="724" ht="20" customHeight="1">
      <c r="A724" t="inlineStr">
        <is>
          <t>Grupo J</t>
        </is>
      </c>
      <c r="B724" t="inlineStr">
        <is>
          <t>ARG</t>
        </is>
      </c>
      <c r="C724" t="inlineStr">
        <is>
          <t>Argentina</t>
        </is>
      </c>
      <c r="D724" t="n">
        <v>3</v>
      </c>
      <c r="E724" t="inlineStr">
        <is>
          <t>ARG3</t>
        </is>
      </c>
      <c r="F724" t="inlineStr">
        <is>
          <t>Nahuel Molina - Argentina</t>
        </is>
      </c>
      <c r="G724" t="inlineStr">
        <is>
          <t>Base</t>
        </is>
      </c>
      <c r="I724" t="n">
        <v>0</v>
      </c>
    </row>
    <row r="725" ht="20" customHeight="1">
      <c r="A725" t="inlineStr">
        <is>
          <t>Grupo J</t>
        </is>
      </c>
      <c r="B725" t="inlineStr">
        <is>
          <t>ARG</t>
        </is>
      </c>
      <c r="C725" t="inlineStr">
        <is>
          <t>Argentina</t>
        </is>
      </c>
      <c r="D725" t="n">
        <v>4</v>
      </c>
      <c r="E725" t="inlineStr">
        <is>
          <t>ARG4</t>
        </is>
      </c>
      <c r="F725" t="inlineStr">
        <is>
          <t>Cristian Romero - Argentina</t>
        </is>
      </c>
      <c r="G725" t="inlineStr">
        <is>
          <t>Base</t>
        </is>
      </c>
      <c r="I725" t="n">
        <v>0</v>
      </c>
    </row>
    <row r="726" ht="20" customHeight="1">
      <c r="A726" t="inlineStr">
        <is>
          <t>Grupo J</t>
        </is>
      </c>
      <c r="B726" t="inlineStr">
        <is>
          <t>ARG</t>
        </is>
      </c>
      <c r="C726" t="inlineStr">
        <is>
          <t>Argentina</t>
        </is>
      </c>
      <c r="D726" t="n">
        <v>5</v>
      </c>
      <c r="E726" t="inlineStr">
        <is>
          <t>ARG5</t>
        </is>
      </c>
      <c r="F726" t="inlineStr">
        <is>
          <t>Nicolas Otamendi - Argentina</t>
        </is>
      </c>
      <c r="G726" t="inlineStr">
        <is>
          <t>Base</t>
        </is>
      </c>
      <c r="I726" t="n">
        <v>0</v>
      </c>
    </row>
    <row r="727" ht="20" customHeight="1">
      <c r="A727" t="inlineStr">
        <is>
          <t>Grupo J</t>
        </is>
      </c>
      <c r="B727" t="inlineStr">
        <is>
          <t>ARG</t>
        </is>
      </c>
      <c r="C727" t="inlineStr">
        <is>
          <t>Argentina</t>
        </is>
      </c>
      <c r="D727" t="n">
        <v>6</v>
      </c>
      <c r="E727" t="inlineStr">
        <is>
          <t>ARG6</t>
        </is>
      </c>
      <c r="F727" t="inlineStr">
        <is>
          <t>Nicolas Tagliafico - Argentina</t>
        </is>
      </c>
      <c r="G727" t="inlineStr">
        <is>
          <t>Base</t>
        </is>
      </c>
      <c r="I727" t="n">
        <v>0</v>
      </c>
    </row>
    <row r="728" ht="20" customHeight="1">
      <c r="A728" t="inlineStr">
        <is>
          <t>Grupo J</t>
        </is>
      </c>
      <c r="B728" t="inlineStr">
        <is>
          <t>ARG</t>
        </is>
      </c>
      <c r="C728" t="inlineStr">
        <is>
          <t>Argentina</t>
        </is>
      </c>
      <c r="D728" t="n">
        <v>7</v>
      </c>
      <c r="E728" t="inlineStr">
        <is>
          <t>ARG7</t>
        </is>
      </c>
      <c r="F728" t="inlineStr">
        <is>
          <t>Leonardo Balerdi - Argentina</t>
        </is>
      </c>
      <c r="G728" t="inlineStr">
        <is>
          <t>Base</t>
        </is>
      </c>
      <c r="I728" t="n">
        <v>0</v>
      </c>
    </row>
    <row r="729" ht="20" customHeight="1">
      <c r="A729" t="inlineStr">
        <is>
          <t>Grupo J</t>
        </is>
      </c>
      <c r="B729" t="inlineStr">
        <is>
          <t>ARG</t>
        </is>
      </c>
      <c r="C729" t="inlineStr">
        <is>
          <t>Argentina</t>
        </is>
      </c>
      <c r="D729" t="n">
        <v>8</v>
      </c>
      <c r="E729" t="inlineStr">
        <is>
          <t>ARG8</t>
        </is>
      </c>
      <c r="F729" t="inlineStr">
        <is>
          <t>Enzo Fernandez - Argentina</t>
        </is>
      </c>
      <c r="G729" t="inlineStr">
        <is>
          <t>Base</t>
        </is>
      </c>
      <c r="I729" t="n">
        <v>0</v>
      </c>
    </row>
    <row r="730" ht="20" customHeight="1">
      <c r="A730" t="inlineStr">
        <is>
          <t>Grupo J</t>
        </is>
      </c>
      <c r="B730" t="inlineStr">
        <is>
          <t>ARG</t>
        </is>
      </c>
      <c r="C730" t="inlineStr">
        <is>
          <t>Argentina</t>
        </is>
      </c>
      <c r="D730" t="n">
        <v>9</v>
      </c>
      <c r="E730" t="inlineStr">
        <is>
          <t>ARG9</t>
        </is>
      </c>
      <c r="F730" t="inlineStr">
        <is>
          <t>Alexis Mac Allister - Argentina</t>
        </is>
      </c>
      <c r="G730" t="inlineStr">
        <is>
          <t>Base</t>
        </is>
      </c>
      <c r="I730" t="n">
        <v>0</v>
      </c>
    </row>
    <row r="731" ht="20" customHeight="1">
      <c r="A731" t="inlineStr">
        <is>
          <t>Grupo J</t>
        </is>
      </c>
      <c r="B731" t="inlineStr">
        <is>
          <t>ARG</t>
        </is>
      </c>
      <c r="C731" t="inlineStr">
        <is>
          <t>Argentina</t>
        </is>
      </c>
      <c r="D731" t="n">
        <v>10</v>
      </c>
      <c r="E731" t="inlineStr">
        <is>
          <t>ARG10</t>
        </is>
      </c>
      <c r="F731" t="inlineStr">
        <is>
          <t>Rodrigo De Paul - Argentina</t>
        </is>
      </c>
      <c r="G731" t="inlineStr">
        <is>
          <t>Base</t>
        </is>
      </c>
      <c r="I731" t="n">
        <v>0</v>
      </c>
    </row>
    <row r="732" ht="20" customHeight="1">
      <c r="A732" t="inlineStr">
        <is>
          <t>Grupo J</t>
        </is>
      </c>
      <c r="B732" t="inlineStr">
        <is>
          <t>ARG</t>
        </is>
      </c>
      <c r="C732" t="inlineStr">
        <is>
          <t>Argentina</t>
        </is>
      </c>
      <c r="D732" t="n">
        <v>11</v>
      </c>
      <c r="E732" t="inlineStr">
        <is>
          <t>ARG11</t>
        </is>
      </c>
      <c r="F732" t="inlineStr">
        <is>
          <t>Exequiel Palacios - Argentina</t>
        </is>
      </c>
      <c r="G732" t="inlineStr">
        <is>
          <t>Base</t>
        </is>
      </c>
      <c r="I732" t="n">
        <v>0</v>
      </c>
    </row>
    <row r="733" ht="20" customHeight="1">
      <c r="A733" t="inlineStr">
        <is>
          <t>Grupo J</t>
        </is>
      </c>
      <c r="B733" t="inlineStr">
        <is>
          <t>ARG</t>
        </is>
      </c>
      <c r="C733" t="inlineStr">
        <is>
          <t>Argentina</t>
        </is>
      </c>
      <c r="D733" t="n">
        <v>12</v>
      </c>
      <c r="E733" t="inlineStr">
        <is>
          <t>ARG12</t>
        </is>
      </c>
      <c r="F733" t="inlineStr">
        <is>
          <t>Leandro Paredes - Argentina</t>
        </is>
      </c>
      <c r="G733" t="inlineStr">
        <is>
          <t>Base</t>
        </is>
      </c>
      <c r="I733" t="n">
        <v>0</v>
      </c>
    </row>
    <row r="734" ht="20" customHeight="1">
      <c r="A734" t="inlineStr">
        <is>
          <t>Grupo J</t>
        </is>
      </c>
      <c r="B734" t="inlineStr">
        <is>
          <t>ARG</t>
        </is>
      </c>
      <c r="C734" t="inlineStr">
        <is>
          <t>Argentina</t>
        </is>
      </c>
      <c r="D734" t="n">
        <v>13</v>
      </c>
      <c r="E734" t="inlineStr">
        <is>
          <t>ARG13</t>
        </is>
      </c>
      <c r="F734" t="inlineStr">
        <is>
          <t>Team Photo - Argentina</t>
        </is>
      </c>
      <c r="G734" t="inlineStr">
        <is>
          <t>Base</t>
        </is>
      </c>
      <c r="I734" t="n">
        <v>0</v>
      </c>
    </row>
    <row r="735" ht="20" customHeight="1">
      <c r="A735" t="inlineStr">
        <is>
          <t>Grupo J</t>
        </is>
      </c>
      <c r="B735" t="inlineStr">
        <is>
          <t>ARG</t>
        </is>
      </c>
      <c r="C735" t="inlineStr">
        <is>
          <t>Argentina</t>
        </is>
      </c>
      <c r="D735" t="n">
        <v>14</v>
      </c>
      <c r="E735" t="inlineStr">
        <is>
          <t>ARG14</t>
        </is>
      </c>
      <c r="F735" t="inlineStr">
        <is>
          <t>Nico Paz - Argentina</t>
        </is>
      </c>
      <c r="G735" t="inlineStr">
        <is>
          <t>Base</t>
        </is>
      </c>
      <c r="I735" t="n">
        <v>0</v>
      </c>
    </row>
    <row r="736" ht="20" customHeight="1">
      <c r="A736" t="inlineStr">
        <is>
          <t>Grupo J</t>
        </is>
      </c>
      <c r="B736" t="inlineStr">
        <is>
          <t>ARG</t>
        </is>
      </c>
      <c r="C736" t="inlineStr">
        <is>
          <t>Argentina</t>
        </is>
      </c>
      <c r="D736" t="n">
        <v>15</v>
      </c>
      <c r="E736" t="inlineStr">
        <is>
          <t>ARG15</t>
        </is>
      </c>
      <c r="F736" t="inlineStr">
        <is>
          <t>Franco Mastantuono - Argentina</t>
        </is>
      </c>
      <c r="G736" t="inlineStr">
        <is>
          <t>Base</t>
        </is>
      </c>
      <c r="I736" t="n">
        <v>0</v>
      </c>
    </row>
    <row r="737" ht="20" customHeight="1">
      <c r="A737" t="inlineStr">
        <is>
          <t>Grupo J</t>
        </is>
      </c>
      <c r="B737" t="inlineStr">
        <is>
          <t>ARG</t>
        </is>
      </c>
      <c r="C737" t="inlineStr">
        <is>
          <t>Argentina</t>
        </is>
      </c>
      <c r="D737" t="n">
        <v>16</v>
      </c>
      <c r="E737" t="inlineStr">
        <is>
          <t>ARG16</t>
        </is>
      </c>
      <c r="F737" t="inlineStr">
        <is>
          <t>Nico Gonzalez - Argentina</t>
        </is>
      </c>
      <c r="G737" t="inlineStr">
        <is>
          <t>Base</t>
        </is>
      </c>
      <c r="I737" t="n">
        <v>0</v>
      </c>
    </row>
    <row r="738" ht="20" customHeight="1">
      <c r="A738" t="inlineStr">
        <is>
          <t>Grupo J</t>
        </is>
      </c>
      <c r="B738" t="inlineStr">
        <is>
          <t>ARG</t>
        </is>
      </c>
      <c r="C738" t="inlineStr">
        <is>
          <t>Argentina</t>
        </is>
      </c>
      <c r="D738" t="n">
        <v>17</v>
      </c>
      <c r="E738" t="inlineStr">
        <is>
          <t>ARG17</t>
        </is>
      </c>
      <c r="F738" t="inlineStr">
        <is>
          <t>Lionel Messi - Argentina</t>
        </is>
      </c>
      <c r="G738" t="inlineStr">
        <is>
          <t>Base</t>
        </is>
      </c>
      <c r="I738" t="n">
        <v>0</v>
      </c>
    </row>
    <row r="739" ht="20" customHeight="1">
      <c r="A739" t="inlineStr">
        <is>
          <t>Grupo J</t>
        </is>
      </c>
      <c r="B739" t="inlineStr">
        <is>
          <t>ARG</t>
        </is>
      </c>
      <c r="C739" t="inlineStr">
        <is>
          <t>Argentina</t>
        </is>
      </c>
      <c r="D739" t="n">
        <v>18</v>
      </c>
      <c r="E739" t="inlineStr">
        <is>
          <t>ARG18</t>
        </is>
      </c>
      <c r="F739" t="inlineStr">
        <is>
          <t>Lautaro Martinez - Argentina</t>
        </is>
      </c>
      <c r="G739" t="inlineStr">
        <is>
          <t>Base</t>
        </is>
      </c>
      <c r="I739" t="n">
        <v>0</v>
      </c>
    </row>
    <row r="740" ht="20" customHeight="1">
      <c r="A740" t="inlineStr">
        <is>
          <t>Grupo J</t>
        </is>
      </c>
      <c r="B740" t="inlineStr">
        <is>
          <t>ARG</t>
        </is>
      </c>
      <c r="C740" t="inlineStr">
        <is>
          <t>Argentina</t>
        </is>
      </c>
      <c r="D740" t="n">
        <v>19</v>
      </c>
      <c r="E740" t="inlineStr">
        <is>
          <t>ARG19</t>
        </is>
      </c>
      <c r="F740" t="inlineStr">
        <is>
          <t>Julian Alvarez - Argentina</t>
        </is>
      </c>
      <c r="G740" t="inlineStr">
        <is>
          <t>Base</t>
        </is>
      </c>
      <c r="I740" t="n">
        <v>0</v>
      </c>
    </row>
    <row r="741" ht="20" customHeight="1">
      <c r="A741" t="inlineStr">
        <is>
          <t>Grupo J</t>
        </is>
      </c>
      <c r="B741" t="inlineStr">
        <is>
          <t>ARG</t>
        </is>
      </c>
      <c r="C741" t="inlineStr">
        <is>
          <t>Argentina</t>
        </is>
      </c>
      <c r="D741" t="n">
        <v>20</v>
      </c>
      <c r="E741" t="inlineStr">
        <is>
          <t>ARG20</t>
        </is>
      </c>
      <c r="F741" t="inlineStr">
        <is>
          <t>Giuliano Simeone - Argentina</t>
        </is>
      </c>
      <c r="G741" t="inlineStr">
        <is>
          <t>Base</t>
        </is>
      </c>
      <c r="I741" t="n">
        <v>0</v>
      </c>
    </row>
    <row r="742" ht="20" customHeight="1">
      <c r="A742" t="inlineStr">
        <is>
          <t>Grupo J</t>
        </is>
      </c>
      <c r="B742" t="inlineStr">
        <is>
          <t>ALG</t>
        </is>
      </c>
      <c r="C742" t="inlineStr">
        <is>
          <t>Algeria</t>
        </is>
      </c>
      <c r="D742" t="n">
        <v>1</v>
      </c>
      <c r="E742" t="inlineStr">
        <is>
          <t>ALG1</t>
        </is>
      </c>
      <c r="F742" t="inlineStr">
        <is>
          <t>Team Logo - Algeria FOIL</t>
        </is>
      </c>
      <c r="G742" t="inlineStr">
        <is>
          <t>FOIL</t>
        </is>
      </c>
      <c r="I742" t="n">
        <v>0</v>
      </c>
    </row>
    <row r="743" ht="20" customHeight="1">
      <c r="A743" t="inlineStr">
        <is>
          <t>Grupo J</t>
        </is>
      </c>
      <c r="B743" t="inlineStr">
        <is>
          <t>ALG</t>
        </is>
      </c>
      <c r="C743" t="inlineStr">
        <is>
          <t>Algeria</t>
        </is>
      </c>
      <c r="D743" t="n">
        <v>2</v>
      </c>
      <c r="E743" t="inlineStr">
        <is>
          <t>ALG2</t>
        </is>
      </c>
      <c r="F743" t="inlineStr">
        <is>
          <t>Alexis Guendouz - Algeria</t>
        </is>
      </c>
      <c r="G743" t="inlineStr">
        <is>
          <t>Base</t>
        </is>
      </c>
      <c r="I743" t="n">
        <v>0</v>
      </c>
    </row>
    <row r="744" ht="20" customHeight="1">
      <c r="A744" t="inlineStr">
        <is>
          <t>Grupo J</t>
        </is>
      </c>
      <c r="B744" t="inlineStr">
        <is>
          <t>ALG</t>
        </is>
      </c>
      <c r="C744" t="inlineStr">
        <is>
          <t>Algeria</t>
        </is>
      </c>
      <c r="D744" t="n">
        <v>3</v>
      </c>
      <c r="E744" t="inlineStr">
        <is>
          <t>ALG3</t>
        </is>
      </c>
      <c r="F744" t="inlineStr">
        <is>
          <t>Ramy Bensebaini - Algeria</t>
        </is>
      </c>
      <c r="G744" t="inlineStr">
        <is>
          <t>Base</t>
        </is>
      </c>
      <c r="I744" t="n">
        <v>0</v>
      </c>
    </row>
    <row r="745" ht="20" customHeight="1">
      <c r="A745" t="inlineStr">
        <is>
          <t>Grupo J</t>
        </is>
      </c>
      <c r="B745" t="inlineStr">
        <is>
          <t>ALG</t>
        </is>
      </c>
      <c r="C745" t="inlineStr">
        <is>
          <t>Algeria</t>
        </is>
      </c>
      <c r="D745" t="n">
        <v>4</v>
      </c>
      <c r="E745" t="inlineStr">
        <is>
          <t>ALG4</t>
        </is>
      </c>
      <c r="F745" t="inlineStr">
        <is>
          <t>Youcef Atal - Algeria</t>
        </is>
      </c>
      <c r="G745" t="inlineStr">
        <is>
          <t>Base</t>
        </is>
      </c>
      <c r="I745" t="n">
        <v>0</v>
      </c>
    </row>
    <row r="746" ht="20" customHeight="1">
      <c r="A746" t="inlineStr">
        <is>
          <t>Grupo J</t>
        </is>
      </c>
      <c r="B746" t="inlineStr">
        <is>
          <t>ALG</t>
        </is>
      </c>
      <c r="C746" t="inlineStr">
        <is>
          <t>Algeria</t>
        </is>
      </c>
      <c r="D746" t="n">
        <v>5</v>
      </c>
      <c r="E746" t="inlineStr">
        <is>
          <t>ALG5</t>
        </is>
      </c>
      <c r="F746" t="inlineStr">
        <is>
          <t>Rayan Aït-Nouri - Algeria</t>
        </is>
      </c>
      <c r="G746" t="inlineStr">
        <is>
          <t>Base</t>
        </is>
      </c>
      <c r="I746" t="n">
        <v>0</v>
      </c>
    </row>
    <row r="747" ht="20" customHeight="1">
      <c r="A747" t="inlineStr">
        <is>
          <t>Grupo J</t>
        </is>
      </c>
      <c r="B747" t="inlineStr">
        <is>
          <t>ALG</t>
        </is>
      </c>
      <c r="C747" t="inlineStr">
        <is>
          <t>Algeria</t>
        </is>
      </c>
      <c r="D747" t="n">
        <v>6</v>
      </c>
      <c r="E747" t="inlineStr">
        <is>
          <t>ALG6</t>
        </is>
      </c>
      <c r="F747" t="inlineStr">
        <is>
          <t>Mohamed Amine Tougai - Algeria</t>
        </is>
      </c>
      <c r="G747" t="inlineStr">
        <is>
          <t>Base</t>
        </is>
      </c>
      <c r="I747" t="n">
        <v>0</v>
      </c>
    </row>
    <row r="748" ht="20" customHeight="1">
      <c r="A748" t="inlineStr">
        <is>
          <t>Grupo J</t>
        </is>
      </c>
      <c r="B748" t="inlineStr">
        <is>
          <t>ALG</t>
        </is>
      </c>
      <c r="C748" t="inlineStr">
        <is>
          <t>Algeria</t>
        </is>
      </c>
      <c r="D748" t="n">
        <v>7</v>
      </c>
      <c r="E748" t="inlineStr">
        <is>
          <t>ALG7</t>
        </is>
      </c>
      <c r="F748" t="inlineStr">
        <is>
          <t>Aïssa Mandi - Algeria</t>
        </is>
      </c>
      <c r="G748" t="inlineStr">
        <is>
          <t>Base</t>
        </is>
      </c>
      <c r="I748" t="n">
        <v>0</v>
      </c>
    </row>
    <row r="749" ht="20" customHeight="1">
      <c r="A749" t="inlineStr">
        <is>
          <t>Grupo J</t>
        </is>
      </c>
      <c r="B749" t="inlineStr">
        <is>
          <t>ALG</t>
        </is>
      </c>
      <c r="C749" t="inlineStr">
        <is>
          <t>Algeria</t>
        </is>
      </c>
      <c r="D749" t="n">
        <v>8</v>
      </c>
      <c r="E749" t="inlineStr">
        <is>
          <t>ALG8</t>
        </is>
      </c>
      <c r="F749" t="inlineStr">
        <is>
          <t>Ismael Bennacer - Algeria</t>
        </is>
      </c>
      <c r="G749" t="inlineStr">
        <is>
          <t>Base</t>
        </is>
      </c>
      <c r="I749" t="n">
        <v>0</v>
      </c>
    </row>
    <row r="750" ht="20" customHeight="1">
      <c r="A750" t="inlineStr">
        <is>
          <t>Grupo J</t>
        </is>
      </c>
      <c r="B750" t="inlineStr">
        <is>
          <t>ALG</t>
        </is>
      </c>
      <c r="C750" t="inlineStr">
        <is>
          <t>Algeria</t>
        </is>
      </c>
      <c r="D750" t="n">
        <v>9</v>
      </c>
      <c r="E750" t="inlineStr">
        <is>
          <t>ALG9</t>
        </is>
      </c>
      <c r="F750" t="inlineStr">
        <is>
          <t>Houssem Aquar - Algeria</t>
        </is>
      </c>
      <c r="G750" t="inlineStr">
        <is>
          <t>Base</t>
        </is>
      </c>
      <c r="I750" t="n">
        <v>0</v>
      </c>
    </row>
    <row r="751" ht="20" customHeight="1">
      <c r="A751" t="inlineStr">
        <is>
          <t>Grupo J</t>
        </is>
      </c>
      <c r="B751" t="inlineStr">
        <is>
          <t>ALG</t>
        </is>
      </c>
      <c r="C751" t="inlineStr">
        <is>
          <t>Algeria</t>
        </is>
      </c>
      <c r="D751" t="n">
        <v>10</v>
      </c>
      <c r="E751" t="inlineStr">
        <is>
          <t>ALG10</t>
        </is>
      </c>
      <c r="F751" t="inlineStr">
        <is>
          <t>Hicham Boudaoui - Algeria</t>
        </is>
      </c>
      <c r="G751" t="inlineStr">
        <is>
          <t>Base</t>
        </is>
      </c>
      <c r="I751" t="n">
        <v>0</v>
      </c>
    </row>
    <row r="752" ht="20" customHeight="1">
      <c r="A752" t="inlineStr">
        <is>
          <t>Grupo J</t>
        </is>
      </c>
      <c r="B752" t="inlineStr">
        <is>
          <t>ALG</t>
        </is>
      </c>
      <c r="C752" t="inlineStr">
        <is>
          <t>Algeria</t>
        </is>
      </c>
      <c r="D752" t="n">
        <v>11</v>
      </c>
      <c r="E752" t="inlineStr">
        <is>
          <t>ALG11</t>
        </is>
      </c>
      <c r="F752" t="inlineStr">
        <is>
          <t>Ramiz Zerrouki - Algeria</t>
        </is>
      </c>
      <c r="G752" t="inlineStr">
        <is>
          <t>Base</t>
        </is>
      </c>
      <c r="I752" t="n">
        <v>0</v>
      </c>
    </row>
    <row r="753" ht="20" customHeight="1">
      <c r="A753" t="inlineStr">
        <is>
          <t>Grupo J</t>
        </is>
      </c>
      <c r="B753" t="inlineStr">
        <is>
          <t>ALG</t>
        </is>
      </c>
      <c r="C753" t="inlineStr">
        <is>
          <t>Algeria</t>
        </is>
      </c>
      <c r="D753" t="n">
        <v>12</v>
      </c>
      <c r="E753" t="inlineStr">
        <is>
          <t>ALG12</t>
        </is>
      </c>
      <c r="F753" t="inlineStr">
        <is>
          <t>Nabil Bentalab - Algeria</t>
        </is>
      </c>
      <c r="G753" t="inlineStr">
        <is>
          <t>Base</t>
        </is>
      </c>
      <c r="I753" t="n">
        <v>0</v>
      </c>
    </row>
    <row r="754" ht="20" customHeight="1">
      <c r="A754" t="inlineStr">
        <is>
          <t>Grupo J</t>
        </is>
      </c>
      <c r="B754" t="inlineStr">
        <is>
          <t>ALG</t>
        </is>
      </c>
      <c r="C754" t="inlineStr">
        <is>
          <t>Algeria</t>
        </is>
      </c>
      <c r="D754" t="n">
        <v>13</v>
      </c>
      <c r="E754" t="inlineStr">
        <is>
          <t>ALG13</t>
        </is>
      </c>
      <c r="F754" t="inlineStr">
        <is>
          <t>Team Photo - Algeria</t>
        </is>
      </c>
      <c r="G754" t="inlineStr">
        <is>
          <t>Base</t>
        </is>
      </c>
      <c r="I754" t="n">
        <v>0</v>
      </c>
    </row>
    <row r="755" ht="20" customHeight="1">
      <c r="A755" t="inlineStr">
        <is>
          <t>Grupo J</t>
        </is>
      </c>
      <c r="B755" t="inlineStr">
        <is>
          <t>ALG</t>
        </is>
      </c>
      <c r="C755" t="inlineStr">
        <is>
          <t>Algeria</t>
        </is>
      </c>
      <c r="D755" t="n">
        <v>14</v>
      </c>
      <c r="E755" t="inlineStr">
        <is>
          <t>ALG14</t>
        </is>
      </c>
      <c r="F755" t="inlineStr">
        <is>
          <t>Farés Chaibi - Algeria</t>
        </is>
      </c>
      <c r="G755" t="inlineStr">
        <is>
          <t>Base</t>
        </is>
      </c>
      <c r="I755" t="n">
        <v>0</v>
      </c>
    </row>
    <row r="756" ht="20" customHeight="1">
      <c r="A756" t="inlineStr">
        <is>
          <t>Grupo J</t>
        </is>
      </c>
      <c r="B756" t="inlineStr">
        <is>
          <t>ALG</t>
        </is>
      </c>
      <c r="C756" t="inlineStr">
        <is>
          <t>Algeria</t>
        </is>
      </c>
      <c r="D756" t="n">
        <v>15</v>
      </c>
      <c r="E756" t="inlineStr">
        <is>
          <t>ALG15</t>
        </is>
      </c>
      <c r="F756" t="inlineStr">
        <is>
          <t>Riyad Mahrez - Algeria</t>
        </is>
      </c>
      <c r="G756" t="inlineStr">
        <is>
          <t>Base</t>
        </is>
      </c>
      <c r="I756" t="n">
        <v>0</v>
      </c>
    </row>
    <row r="757" ht="20" customHeight="1">
      <c r="A757" t="inlineStr">
        <is>
          <t>Grupo J</t>
        </is>
      </c>
      <c r="B757" t="inlineStr">
        <is>
          <t>ALG</t>
        </is>
      </c>
      <c r="C757" t="inlineStr">
        <is>
          <t>Algeria</t>
        </is>
      </c>
      <c r="D757" t="n">
        <v>16</v>
      </c>
      <c r="E757" t="inlineStr">
        <is>
          <t>ALG16</t>
        </is>
      </c>
      <c r="F757" t="inlineStr">
        <is>
          <t>Said Benrahma - Algeria</t>
        </is>
      </c>
      <c r="G757" t="inlineStr">
        <is>
          <t>Base</t>
        </is>
      </c>
      <c r="I757" t="n">
        <v>0</v>
      </c>
    </row>
    <row r="758" ht="20" customHeight="1">
      <c r="A758" t="inlineStr">
        <is>
          <t>Grupo J</t>
        </is>
      </c>
      <c r="B758" t="inlineStr">
        <is>
          <t>ALG</t>
        </is>
      </c>
      <c r="C758" t="inlineStr">
        <is>
          <t>Algeria</t>
        </is>
      </c>
      <c r="D758" t="n">
        <v>17</v>
      </c>
      <c r="E758" t="inlineStr">
        <is>
          <t>ALG17</t>
        </is>
      </c>
      <c r="F758" t="inlineStr">
        <is>
          <t>Anis Hadj Moussa - Algeria</t>
        </is>
      </c>
      <c r="G758" t="inlineStr">
        <is>
          <t>Base</t>
        </is>
      </c>
      <c r="I758" t="n">
        <v>0</v>
      </c>
    </row>
    <row r="759" ht="20" customHeight="1">
      <c r="A759" t="inlineStr">
        <is>
          <t>Grupo J</t>
        </is>
      </c>
      <c r="B759" t="inlineStr">
        <is>
          <t>ALG</t>
        </is>
      </c>
      <c r="C759" t="inlineStr">
        <is>
          <t>Algeria</t>
        </is>
      </c>
      <c r="D759" t="n">
        <v>18</v>
      </c>
      <c r="E759" t="inlineStr">
        <is>
          <t>ALG18</t>
        </is>
      </c>
      <c r="F759" t="inlineStr">
        <is>
          <t>Amine Gouiri - Algeria</t>
        </is>
      </c>
      <c r="G759" t="inlineStr">
        <is>
          <t>Base</t>
        </is>
      </c>
      <c r="I759" t="n">
        <v>0</v>
      </c>
    </row>
    <row r="760" ht="20" customHeight="1">
      <c r="A760" t="inlineStr">
        <is>
          <t>Grupo J</t>
        </is>
      </c>
      <c r="B760" t="inlineStr">
        <is>
          <t>ALG</t>
        </is>
      </c>
      <c r="C760" t="inlineStr">
        <is>
          <t>Algeria</t>
        </is>
      </c>
      <c r="D760" t="n">
        <v>19</v>
      </c>
      <c r="E760" t="inlineStr">
        <is>
          <t>ALG19</t>
        </is>
      </c>
      <c r="F760" t="inlineStr">
        <is>
          <t>Baghdad Bounedjah - Algeria</t>
        </is>
      </c>
      <c r="G760" t="inlineStr">
        <is>
          <t>Base</t>
        </is>
      </c>
      <c r="I760" t="n">
        <v>0</v>
      </c>
    </row>
    <row r="761" ht="20" customHeight="1">
      <c r="A761" t="inlineStr">
        <is>
          <t>Grupo J</t>
        </is>
      </c>
      <c r="B761" t="inlineStr">
        <is>
          <t>ALG</t>
        </is>
      </c>
      <c r="C761" t="inlineStr">
        <is>
          <t>Algeria</t>
        </is>
      </c>
      <c r="D761" t="n">
        <v>20</v>
      </c>
      <c r="E761" t="inlineStr">
        <is>
          <t>ALG20</t>
        </is>
      </c>
      <c r="F761" t="inlineStr">
        <is>
          <t>Mohammed Amoura - Algeria</t>
        </is>
      </c>
      <c r="G761" t="inlineStr">
        <is>
          <t>Base</t>
        </is>
      </c>
      <c r="I761" t="n">
        <v>0</v>
      </c>
    </row>
    <row r="762" ht="20" customHeight="1">
      <c r="A762" t="inlineStr">
        <is>
          <t>Grupo J</t>
        </is>
      </c>
      <c r="B762" t="inlineStr">
        <is>
          <t>AUT</t>
        </is>
      </c>
      <c r="C762" t="inlineStr">
        <is>
          <t>Austria</t>
        </is>
      </c>
      <c r="D762" t="n">
        <v>1</v>
      </c>
      <c r="E762" t="inlineStr">
        <is>
          <t>AUT1</t>
        </is>
      </c>
      <c r="F762" t="inlineStr">
        <is>
          <t>Team Logo - Austria FOIL</t>
        </is>
      </c>
      <c r="G762" t="inlineStr">
        <is>
          <t>FOIL</t>
        </is>
      </c>
      <c r="I762" t="n">
        <v>0</v>
      </c>
    </row>
    <row r="763" ht="20" customHeight="1">
      <c r="A763" t="inlineStr">
        <is>
          <t>Grupo J</t>
        </is>
      </c>
      <c r="B763" t="inlineStr">
        <is>
          <t>AUT</t>
        </is>
      </c>
      <c r="C763" t="inlineStr">
        <is>
          <t>Austria</t>
        </is>
      </c>
      <c r="D763" t="n">
        <v>2</v>
      </c>
      <c r="E763" t="inlineStr">
        <is>
          <t>AUT2</t>
        </is>
      </c>
      <c r="F763" t="inlineStr">
        <is>
          <t>Alexander Schlager - Austria</t>
        </is>
      </c>
      <c r="G763" t="inlineStr">
        <is>
          <t>Base</t>
        </is>
      </c>
      <c r="I763" t="n">
        <v>0</v>
      </c>
    </row>
    <row r="764" ht="20" customHeight="1">
      <c r="A764" t="inlineStr">
        <is>
          <t>Grupo J</t>
        </is>
      </c>
      <c r="B764" t="inlineStr">
        <is>
          <t>AUT</t>
        </is>
      </c>
      <c r="C764" t="inlineStr">
        <is>
          <t>Austria</t>
        </is>
      </c>
      <c r="D764" t="n">
        <v>3</v>
      </c>
      <c r="E764" t="inlineStr">
        <is>
          <t>AUT3</t>
        </is>
      </c>
      <c r="F764" t="inlineStr">
        <is>
          <t>Patrick Pentz - Austria</t>
        </is>
      </c>
      <c r="G764" t="inlineStr">
        <is>
          <t>Base</t>
        </is>
      </c>
      <c r="I764" t="n">
        <v>0</v>
      </c>
    </row>
    <row r="765" ht="20" customHeight="1">
      <c r="A765" t="inlineStr">
        <is>
          <t>Grupo J</t>
        </is>
      </c>
      <c r="B765" t="inlineStr">
        <is>
          <t>AUT</t>
        </is>
      </c>
      <c r="C765" t="inlineStr">
        <is>
          <t>Austria</t>
        </is>
      </c>
      <c r="D765" t="n">
        <v>4</v>
      </c>
      <c r="E765" t="inlineStr">
        <is>
          <t>AUT4</t>
        </is>
      </c>
      <c r="F765" t="inlineStr">
        <is>
          <t>David Alaba - Austria</t>
        </is>
      </c>
      <c r="G765" t="inlineStr">
        <is>
          <t>Base</t>
        </is>
      </c>
      <c r="I765" t="n">
        <v>0</v>
      </c>
    </row>
    <row r="766" ht="20" customHeight="1">
      <c r="A766" t="inlineStr">
        <is>
          <t>Grupo J</t>
        </is>
      </c>
      <c r="B766" t="inlineStr">
        <is>
          <t>AUT</t>
        </is>
      </c>
      <c r="C766" t="inlineStr">
        <is>
          <t>Austria</t>
        </is>
      </c>
      <c r="D766" t="n">
        <v>5</v>
      </c>
      <c r="E766" t="inlineStr">
        <is>
          <t>AUT5</t>
        </is>
      </c>
      <c r="F766" t="inlineStr">
        <is>
          <t>Kevin Danso - Austria</t>
        </is>
      </c>
      <c r="G766" t="inlineStr">
        <is>
          <t>Base</t>
        </is>
      </c>
      <c r="I766" t="n">
        <v>0</v>
      </c>
    </row>
    <row r="767" ht="20" customHeight="1">
      <c r="A767" t="inlineStr">
        <is>
          <t>Grupo J</t>
        </is>
      </c>
      <c r="B767" t="inlineStr">
        <is>
          <t>AUT</t>
        </is>
      </c>
      <c r="C767" t="inlineStr">
        <is>
          <t>Austria</t>
        </is>
      </c>
      <c r="D767" t="n">
        <v>6</v>
      </c>
      <c r="E767" t="inlineStr">
        <is>
          <t>AUT6</t>
        </is>
      </c>
      <c r="F767" t="inlineStr">
        <is>
          <t>Philipp Lienhart - Austria</t>
        </is>
      </c>
      <c r="G767" t="inlineStr">
        <is>
          <t>Base</t>
        </is>
      </c>
      <c r="I767" t="n">
        <v>0</v>
      </c>
    </row>
    <row r="768" ht="20" customHeight="1">
      <c r="A768" t="inlineStr">
        <is>
          <t>Grupo J</t>
        </is>
      </c>
      <c r="B768" t="inlineStr">
        <is>
          <t>AUT</t>
        </is>
      </c>
      <c r="C768" t="inlineStr">
        <is>
          <t>Austria</t>
        </is>
      </c>
      <c r="D768" t="n">
        <v>7</v>
      </c>
      <c r="E768" t="inlineStr">
        <is>
          <t>AUT7</t>
        </is>
      </c>
      <c r="F768" t="inlineStr">
        <is>
          <t>Stefan Posch - Austria</t>
        </is>
      </c>
      <c r="G768" t="inlineStr">
        <is>
          <t>Base</t>
        </is>
      </c>
      <c r="I768" t="n">
        <v>0</v>
      </c>
    </row>
    <row r="769" ht="20" customHeight="1">
      <c r="A769" t="inlineStr">
        <is>
          <t>Grupo J</t>
        </is>
      </c>
      <c r="B769" t="inlineStr">
        <is>
          <t>AUT</t>
        </is>
      </c>
      <c r="C769" t="inlineStr">
        <is>
          <t>Austria</t>
        </is>
      </c>
      <c r="D769" t="n">
        <v>8</v>
      </c>
      <c r="E769" t="inlineStr">
        <is>
          <t>AUT8</t>
        </is>
      </c>
      <c r="F769" t="inlineStr">
        <is>
          <t>Phillipp Mwene - Austria</t>
        </is>
      </c>
      <c r="G769" t="inlineStr">
        <is>
          <t>Base</t>
        </is>
      </c>
      <c r="I769" t="n">
        <v>0</v>
      </c>
    </row>
    <row r="770" ht="20" customHeight="1">
      <c r="A770" t="inlineStr">
        <is>
          <t>Grupo J</t>
        </is>
      </c>
      <c r="B770" t="inlineStr">
        <is>
          <t>AUT</t>
        </is>
      </c>
      <c r="C770" t="inlineStr">
        <is>
          <t>Austria</t>
        </is>
      </c>
      <c r="D770" t="n">
        <v>9</v>
      </c>
      <c r="E770" t="inlineStr">
        <is>
          <t>AUT9</t>
        </is>
      </c>
      <c r="F770" t="inlineStr">
        <is>
          <t>Alexander Prass - Austria</t>
        </is>
      </c>
      <c r="G770" t="inlineStr">
        <is>
          <t>Base</t>
        </is>
      </c>
      <c r="I770" t="n">
        <v>0</v>
      </c>
    </row>
    <row r="771" ht="20" customHeight="1">
      <c r="A771" t="inlineStr">
        <is>
          <t>Grupo J</t>
        </is>
      </c>
      <c r="B771" t="inlineStr">
        <is>
          <t>AUT</t>
        </is>
      </c>
      <c r="C771" t="inlineStr">
        <is>
          <t>Austria</t>
        </is>
      </c>
      <c r="D771" t="n">
        <v>10</v>
      </c>
      <c r="E771" t="inlineStr">
        <is>
          <t>AUT10</t>
        </is>
      </c>
      <c r="F771" t="inlineStr">
        <is>
          <t>Xaver Schlager - Austria</t>
        </is>
      </c>
      <c r="G771" t="inlineStr">
        <is>
          <t>Base</t>
        </is>
      </c>
      <c r="I771" t="n">
        <v>0</v>
      </c>
    </row>
    <row r="772" ht="20" customHeight="1">
      <c r="A772" t="inlineStr">
        <is>
          <t>Grupo J</t>
        </is>
      </c>
      <c r="B772" t="inlineStr">
        <is>
          <t>AUT</t>
        </is>
      </c>
      <c r="C772" t="inlineStr">
        <is>
          <t>Austria</t>
        </is>
      </c>
      <c r="D772" t="n">
        <v>11</v>
      </c>
      <c r="E772" t="inlineStr">
        <is>
          <t>AUT11</t>
        </is>
      </c>
      <c r="F772" t="inlineStr">
        <is>
          <t>Marcel Sabitzer - Austria</t>
        </is>
      </c>
      <c r="G772" t="inlineStr">
        <is>
          <t>Base</t>
        </is>
      </c>
      <c r="I772" t="n">
        <v>0</v>
      </c>
    </row>
    <row r="773" ht="20" customHeight="1">
      <c r="A773" t="inlineStr">
        <is>
          <t>Grupo J</t>
        </is>
      </c>
      <c r="B773" t="inlineStr">
        <is>
          <t>AUT</t>
        </is>
      </c>
      <c r="C773" t="inlineStr">
        <is>
          <t>Austria</t>
        </is>
      </c>
      <c r="D773" t="n">
        <v>12</v>
      </c>
      <c r="E773" t="inlineStr">
        <is>
          <t>AUT12</t>
        </is>
      </c>
      <c r="F773" t="inlineStr">
        <is>
          <t>Konrad Laimer - Austria</t>
        </is>
      </c>
      <c r="G773" t="inlineStr">
        <is>
          <t>Base</t>
        </is>
      </c>
      <c r="I773" t="n">
        <v>0</v>
      </c>
    </row>
    <row r="774" ht="20" customHeight="1">
      <c r="A774" t="inlineStr">
        <is>
          <t>Grupo J</t>
        </is>
      </c>
      <c r="B774" t="inlineStr">
        <is>
          <t>AUT</t>
        </is>
      </c>
      <c r="C774" t="inlineStr">
        <is>
          <t>Austria</t>
        </is>
      </c>
      <c r="D774" t="n">
        <v>13</v>
      </c>
      <c r="E774" t="inlineStr">
        <is>
          <t>AUT13</t>
        </is>
      </c>
      <c r="F774" t="inlineStr">
        <is>
          <t>Team Photo - Austria</t>
        </is>
      </c>
      <c r="G774" t="inlineStr">
        <is>
          <t>Base</t>
        </is>
      </c>
      <c r="I774" t="n">
        <v>0</v>
      </c>
    </row>
    <row r="775" ht="20" customHeight="1">
      <c r="A775" t="inlineStr">
        <is>
          <t>Grupo J</t>
        </is>
      </c>
      <c r="B775" t="inlineStr">
        <is>
          <t>AUT</t>
        </is>
      </c>
      <c r="C775" t="inlineStr">
        <is>
          <t>Austria</t>
        </is>
      </c>
      <c r="D775" t="n">
        <v>14</v>
      </c>
      <c r="E775" t="inlineStr">
        <is>
          <t>AUT14</t>
        </is>
      </c>
      <c r="F775" t="inlineStr">
        <is>
          <t>Florian Grillitsch - Austria</t>
        </is>
      </c>
      <c r="G775" t="inlineStr">
        <is>
          <t>Base</t>
        </is>
      </c>
      <c r="I775" t="n">
        <v>0</v>
      </c>
    </row>
    <row r="776" ht="20" customHeight="1">
      <c r="A776" t="inlineStr">
        <is>
          <t>Grupo J</t>
        </is>
      </c>
      <c r="B776" t="inlineStr">
        <is>
          <t>AUT</t>
        </is>
      </c>
      <c r="C776" t="inlineStr">
        <is>
          <t>Austria</t>
        </is>
      </c>
      <c r="D776" t="n">
        <v>15</v>
      </c>
      <c r="E776" t="inlineStr">
        <is>
          <t>AUT15</t>
        </is>
      </c>
      <c r="F776" t="inlineStr">
        <is>
          <t>Nicolas Seiwald - Austria</t>
        </is>
      </c>
      <c r="G776" t="inlineStr">
        <is>
          <t>Base</t>
        </is>
      </c>
      <c r="I776" t="n">
        <v>0</v>
      </c>
    </row>
    <row r="777" ht="20" customHeight="1">
      <c r="A777" t="inlineStr">
        <is>
          <t>Grupo J</t>
        </is>
      </c>
      <c r="B777" t="inlineStr">
        <is>
          <t>AUT</t>
        </is>
      </c>
      <c r="C777" t="inlineStr">
        <is>
          <t>Austria</t>
        </is>
      </c>
      <c r="D777" t="n">
        <v>16</v>
      </c>
      <c r="E777" t="inlineStr">
        <is>
          <t>AUT16</t>
        </is>
      </c>
      <c r="F777" t="inlineStr">
        <is>
          <t>Romano Schmid - Austria</t>
        </is>
      </c>
      <c r="G777" t="inlineStr">
        <is>
          <t>Base</t>
        </is>
      </c>
      <c r="I777" t="n">
        <v>0</v>
      </c>
    </row>
    <row r="778" ht="20" customHeight="1">
      <c r="A778" t="inlineStr">
        <is>
          <t>Grupo J</t>
        </is>
      </c>
      <c r="B778" t="inlineStr">
        <is>
          <t>AUT</t>
        </is>
      </c>
      <c r="C778" t="inlineStr">
        <is>
          <t>Austria</t>
        </is>
      </c>
      <c r="D778" t="n">
        <v>17</v>
      </c>
      <c r="E778" t="inlineStr">
        <is>
          <t>AUT17</t>
        </is>
      </c>
      <c r="F778" t="inlineStr">
        <is>
          <t>Patrick Wimmer - Austria</t>
        </is>
      </c>
      <c r="G778" t="inlineStr">
        <is>
          <t>Base</t>
        </is>
      </c>
      <c r="I778" t="n">
        <v>0</v>
      </c>
    </row>
    <row r="779" ht="20" customHeight="1">
      <c r="A779" t="inlineStr">
        <is>
          <t>Grupo J</t>
        </is>
      </c>
      <c r="B779" t="inlineStr">
        <is>
          <t>AUT</t>
        </is>
      </c>
      <c r="C779" t="inlineStr">
        <is>
          <t>Austria</t>
        </is>
      </c>
      <c r="D779" t="n">
        <v>18</v>
      </c>
      <c r="E779" t="inlineStr">
        <is>
          <t>AUT18</t>
        </is>
      </c>
      <c r="F779" t="inlineStr">
        <is>
          <t>Christoph Baumgartner - Austria</t>
        </is>
      </c>
      <c r="G779" t="inlineStr">
        <is>
          <t>Base</t>
        </is>
      </c>
      <c r="I779" t="n">
        <v>0</v>
      </c>
    </row>
    <row r="780" ht="20" customHeight="1">
      <c r="A780" t="inlineStr">
        <is>
          <t>Grupo J</t>
        </is>
      </c>
      <c r="B780" t="inlineStr">
        <is>
          <t>AUT</t>
        </is>
      </c>
      <c r="C780" t="inlineStr">
        <is>
          <t>Austria</t>
        </is>
      </c>
      <c r="D780" t="n">
        <v>19</v>
      </c>
      <c r="E780" t="inlineStr">
        <is>
          <t>AUT19</t>
        </is>
      </c>
      <c r="F780" t="inlineStr">
        <is>
          <t>Michael Gregoritsch - Austria</t>
        </is>
      </c>
      <c r="G780" t="inlineStr">
        <is>
          <t>Base</t>
        </is>
      </c>
      <c r="I780" t="n">
        <v>0</v>
      </c>
    </row>
    <row r="781" ht="20" customHeight="1">
      <c r="A781" t="inlineStr">
        <is>
          <t>Grupo J</t>
        </is>
      </c>
      <c r="B781" t="inlineStr">
        <is>
          <t>AUT</t>
        </is>
      </c>
      <c r="C781" t="inlineStr">
        <is>
          <t>Austria</t>
        </is>
      </c>
      <c r="D781" t="n">
        <v>20</v>
      </c>
      <c r="E781" t="inlineStr">
        <is>
          <t>AUT20</t>
        </is>
      </c>
      <c r="F781" t="inlineStr">
        <is>
          <t>Marko Arnautović - Austria</t>
        </is>
      </c>
      <c r="G781" t="inlineStr">
        <is>
          <t>Base</t>
        </is>
      </c>
      <c r="I781" t="n">
        <v>0</v>
      </c>
    </row>
    <row r="782" ht="20" customHeight="1">
      <c r="A782" t="inlineStr">
        <is>
          <t>Grupo J</t>
        </is>
      </c>
      <c r="B782" t="inlineStr">
        <is>
          <t>JOR</t>
        </is>
      </c>
      <c r="C782" t="inlineStr">
        <is>
          <t>Jordan</t>
        </is>
      </c>
      <c r="D782" t="n">
        <v>1</v>
      </c>
      <c r="E782" t="inlineStr">
        <is>
          <t>JOR1</t>
        </is>
      </c>
      <c r="F782" t="inlineStr">
        <is>
          <t>Team Logo - Jordan FOIL</t>
        </is>
      </c>
      <c r="G782" t="inlineStr">
        <is>
          <t>FOIL</t>
        </is>
      </c>
      <c r="I782" t="n">
        <v>0</v>
      </c>
    </row>
    <row r="783" ht="20" customHeight="1">
      <c r="A783" t="inlineStr">
        <is>
          <t>Grupo J</t>
        </is>
      </c>
      <c r="B783" t="inlineStr">
        <is>
          <t>JOR</t>
        </is>
      </c>
      <c r="C783" t="inlineStr">
        <is>
          <t>Jordan</t>
        </is>
      </c>
      <c r="D783" t="n">
        <v>2</v>
      </c>
      <c r="E783" t="inlineStr">
        <is>
          <t>JOR2</t>
        </is>
      </c>
      <c r="F783" t="inlineStr">
        <is>
          <t>Yazeed Abulaila - Jordan</t>
        </is>
      </c>
      <c r="G783" t="inlineStr">
        <is>
          <t>Base</t>
        </is>
      </c>
      <c r="I783" t="n">
        <v>0</v>
      </c>
    </row>
    <row r="784" ht="20" customHeight="1">
      <c r="A784" t="inlineStr">
        <is>
          <t>Grupo J</t>
        </is>
      </c>
      <c r="B784" t="inlineStr">
        <is>
          <t>JOR</t>
        </is>
      </c>
      <c r="C784" t="inlineStr">
        <is>
          <t>Jordan</t>
        </is>
      </c>
      <c r="D784" t="n">
        <v>3</v>
      </c>
      <c r="E784" t="inlineStr">
        <is>
          <t>JOR3</t>
        </is>
      </c>
      <c r="F784" t="inlineStr">
        <is>
          <t>Ihsan Haddad - Jordan</t>
        </is>
      </c>
      <c r="G784" t="inlineStr">
        <is>
          <t>Base</t>
        </is>
      </c>
      <c r="I784" t="n">
        <v>0</v>
      </c>
    </row>
    <row r="785" ht="20" customHeight="1">
      <c r="A785" t="inlineStr">
        <is>
          <t>Grupo J</t>
        </is>
      </c>
      <c r="B785" t="inlineStr">
        <is>
          <t>JOR</t>
        </is>
      </c>
      <c r="C785" t="inlineStr">
        <is>
          <t>Jordan</t>
        </is>
      </c>
      <c r="D785" t="n">
        <v>4</v>
      </c>
      <c r="E785" t="inlineStr">
        <is>
          <t>JOR4</t>
        </is>
      </c>
      <c r="F785" t="inlineStr">
        <is>
          <t>Mohammad Abu Hashish - Jordan</t>
        </is>
      </c>
      <c r="G785" t="inlineStr">
        <is>
          <t>Base</t>
        </is>
      </c>
      <c r="I785" t="n">
        <v>0</v>
      </c>
    </row>
    <row r="786" ht="20" customHeight="1">
      <c r="A786" t="inlineStr">
        <is>
          <t>Grupo J</t>
        </is>
      </c>
      <c r="B786" t="inlineStr">
        <is>
          <t>JOR</t>
        </is>
      </c>
      <c r="C786" t="inlineStr">
        <is>
          <t>Jordan</t>
        </is>
      </c>
      <c r="D786" t="n">
        <v>5</v>
      </c>
      <c r="E786" t="inlineStr">
        <is>
          <t>JOR5</t>
        </is>
      </c>
      <c r="F786" t="inlineStr">
        <is>
          <t>Yazan Al-Arab - Jordan</t>
        </is>
      </c>
      <c r="G786" t="inlineStr">
        <is>
          <t>Base</t>
        </is>
      </c>
      <c r="I786" t="n">
        <v>0</v>
      </c>
    </row>
    <row r="787" ht="20" customHeight="1">
      <c r="A787" t="inlineStr">
        <is>
          <t>Grupo J</t>
        </is>
      </c>
      <c r="B787" t="inlineStr">
        <is>
          <t>JOR</t>
        </is>
      </c>
      <c r="C787" t="inlineStr">
        <is>
          <t>Jordan</t>
        </is>
      </c>
      <c r="D787" t="n">
        <v>6</v>
      </c>
      <c r="E787" t="inlineStr">
        <is>
          <t>JOR6</t>
        </is>
      </c>
      <c r="F787" t="inlineStr">
        <is>
          <t>Abdallah Nasib - Jordan</t>
        </is>
      </c>
      <c r="G787" t="inlineStr">
        <is>
          <t>Base</t>
        </is>
      </c>
      <c r="I787" t="n">
        <v>0</v>
      </c>
    </row>
    <row r="788" ht="20" customHeight="1">
      <c r="A788" t="inlineStr">
        <is>
          <t>Grupo J</t>
        </is>
      </c>
      <c r="B788" t="inlineStr">
        <is>
          <t>JOR</t>
        </is>
      </c>
      <c r="C788" t="inlineStr">
        <is>
          <t>Jordan</t>
        </is>
      </c>
      <c r="D788" t="n">
        <v>7</v>
      </c>
      <c r="E788" t="inlineStr">
        <is>
          <t>JOR7</t>
        </is>
      </c>
      <c r="F788" t="inlineStr">
        <is>
          <t>Saleem Obaid - Jordan</t>
        </is>
      </c>
      <c r="G788" t="inlineStr">
        <is>
          <t>Base</t>
        </is>
      </c>
      <c r="I788" t="n">
        <v>0</v>
      </c>
    </row>
    <row r="789" ht="20" customHeight="1">
      <c r="A789" t="inlineStr">
        <is>
          <t>Grupo J</t>
        </is>
      </c>
      <c r="B789" t="inlineStr">
        <is>
          <t>JOR</t>
        </is>
      </c>
      <c r="C789" t="inlineStr">
        <is>
          <t>Jordan</t>
        </is>
      </c>
      <c r="D789" t="n">
        <v>8</v>
      </c>
      <c r="E789" t="inlineStr">
        <is>
          <t>JOR8</t>
        </is>
      </c>
      <c r="F789" t="inlineStr">
        <is>
          <t>Mohammad Abualnadi - Jordan</t>
        </is>
      </c>
      <c r="G789" t="inlineStr">
        <is>
          <t>Base</t>
        </is>
      </c>
      <c r="I789" t="n">
        <v>0</v>
      </c>
    </row>
    <row r="790" ht="20" customHeight="1">
      <c r="A790" t="inlineStr">
        <is>
          <t>Grupo J</t>
        </is>
      </c>
      <c r="B790" t="inlineStr">
        <is>
          <t>JOR</t>
        </is>
      </c>
      <c r="C790" t="inlineStr">
        <is>
          <t>Jordan</t>
        </is>
      </c>
      <c r="D790" t="n">
        <v>9</v>
      </c>
      <c r="E790" t="inlineStr">
        <is>
          <t>JOR9</t>
        </is>
      </c>
      <c r="F790" t="inlineStr">
        <is>
          <t>Ibrahim Saadeh - Jordan</t>
        </is>
      </c>
      <c r="G790" t="inlineStr">
        <is>
          <t>Base</t>
        </is>
      </c>
      <c r="I790" t="n">
        <v>0</v>
      </c>
    </row>
    <row r="791" ht="20" customHeight="1">
      <c r="A791" t="inlineStr">
        <is>
          <t>Grupo J</t>
        </is>
      </c>
      <c r="B791" t="inlineStr">
        <is>
          <t>JOR</t>
        </is>
      </c>
      <c r="C791" t="inlineStr">
        <is>
          <t>Jordan</t>
        </is>
      </c>
      <c r="D791" t="n">
        <v>10</v>
      </c>
      <c r="E791" t="inlineStr">
        <is>
          <t>JOR10</t>
        </is>
      </c>
      <c r="F791" t="inlineStr">
        <is>
          <t>Nizar Al-Rashdan - Jordan</t>
        </is>
      </c>
      <c r="G791" t="inlineStr">
        <is>
          <t>Base</t>
        </is>
      </c>
      <c r="I791" t="n">
        <v>0</v>
      </c>
    </row>
    <row r="792" ht="20" customHeight="1">
      <c r="A792" t="inlineStr">
        <is>
          <t>Grupo J</t>
        </is>
      </c>
      <c r="B792" t="inlineStr">
        <is>
          <t>JOR</t>
        </is>
      </c>
      <c r="C792" t="inlineStr">
        <is>
          <t>Jordan</t>
        </is>
      </c>
      <c r="D792" t="n">
        <v>11</v>
      </c>
      <c r="E792" t="inlineStr">
        <is>
          <t>JOR11</t>
        </is>
      </c>
      <c r="F792" t="inlineStr">
        <is>
          <t>Noor Al-Rawabdeh - Jordan</t>
        </is>
      </c>
      <c r="G792" t="inlineStr">
        <is>
          <t>Base</t>
        </is>
      </c>
      <c r="I792" t="n">
        <v>0</v>
      </c>
    </row>
    <row r="793" ht="20" customHeight="1">
      <c r="A793" t="inlineStr">
        <is>
          <t>Grupo J</t>
        </is>
      </c>
      <c r="B793" t="inlineStr">
        <is>
          <t>JOR</t>
        </is>
      </c>
      <c r="C793" t="inlineStr">
        <is>
          <t>Jordan</t>
        </is>
      </c>
      <c r="D793" t="n">
        <v>12</v>
      </c>
      <c r="E793" t="inlineStr">
        <is>
          <t>JOR12</t>
        </is>
      </c>
      <c r="F793" t="inlineStr">
        <is>
          <t>Mohannad Abu Taha - Jordan</t>
        </is>
      </c>
      <c r="G793" t="inlineStr">
        <is>
          <t>Base</t>
        </is>
      </c>
      <c r="I793" t="n">
        <v>0</v>
      </c>
    </row>
    <row r="794" ht="20" customHeight="1">
      <c r="A794" t="inlineStr">
        <is>
          <t>Grupo J</t>
        </is>
      </c>
      <c r="B794" t="inlineStr">
        <is>
          <t>JOR</t>
        </is>
      </c>
      <c r="C794" t="inlineStr">
        <is>
          <t>Jordan</t>
        </is>
      </c>
      <c r="D794" t="n">
        <v>13</v>
      </c>
      <c r="E794" t="inlineStr">
        <is>
          <t>JOR13</t>
        </is>
      </c>
      <c r="F794" t="inlineStr">
        <is>
          <t>Team Photo - Jordan</t>
        </is>
      </c>
      <c r="G794" t="inlineStr">
        <is>
          <t>Base</t>
        </is>
      </c>
      <c r="I794" t="n">
        <v>0</v>
      </c>
    </row>
    <row r="795" ht="20" customHeight="1">
      <c r="A795" t="inlineStr">
        <is>
          <t>Grupo J</t>
        </is>
      </c>
      <c r="B795" t="inlineStr">
        <is>
          <t>JOR</t>
        </is>
      </c>
      <c r="C795" t="inlineStr">
        <is>
          <t>Jordan</t>
        </is>
      </c>
      <c r="D795" t="n">
        <v>14</v>
      </c>
      <c r="E795" t="inlineStr">
        <is>
          <t>JOR14</t>
        </is>
      </c>
      <c r="F795" t="inlineStr">
        <is>
          <t>Amer Jamous - Jordan</t>
        </is>
      </c>
      <c r="G795" t="inlineStr">
        <is>
          <t>Base</t>
        </is>
      </c>
      <c r="I795" t="n">
        <v>0</v>
      </c>
    </row>
    <row r="796" ht="20" customHeight="1">
      <c r="A796" t="inlineStr">
        <is>
          <t>Grupo J</t>
        </is>
      </c>
      <c r="B796" t="inlineStr">
        <is>
          <t>JOR</t>
        </is>
      </c>
      <c r="C796" t="inlineStr">
        <is>
          <t>Jordan</t>
        </is>
      </c>
      <c r="D796" t="n">
        <v>15</v>
      </c>
      <c r="E796" t="inlineStr">
        <is>
          <t>JOR15</t>
        </is>
      </c>
      <c r="F796" t="inlineStr">
        <is>
          <t>Musa Al-Taamari - Jordan</t>
        </is>
      </c>
      <c r="G796" t="inlineStr">
        <is>
          <t>Base</t>
        </is>
      </c>
      <c r="I796" t="n">
        <v>0</v>
      </c>
    </row>
    <row r="797" ht="20" customHeight="1">
      <c r="A797" t="inlineStr">
        <is>
          <t>Grupo J</t>
        </is>
      </c>
      <c r="B797" t="inlineStr">
        <is>
          <t>JOR</t>
        </is>
      </c>
      <c r="C797" t="inlineStr">
        <is>
          <t>Jordan</t>
        </is>
      </c>
      <c r="D797" t="n">
        <v>16</v>
      </c>
      <c r="E797" t="inlineStr">
        <is>
          <t>JOR16</t>
        </is>
      </c>
      <c r="F797" t="inlineStr">
        <is>
          <t>Yazan Al-Naimat - Jordan</t>
        </is>
      </c>
      <c r="G797" t="inlineStr">
        <is>
          <t>Base</t>
        </is>
      </c>
      <c r="I797" t="n">
        <v>0</v>
      </c>
    </row>
    <row r="798" ht="20" customHeight="1">
      <c r="A798" t="inlineStr">
        <is>
          <t>Grupo J</t>
        </is>
      </c>
      <c r="B798" t="inlineStr">
        <is>
          <t>JOR</t>
        </is>
      </c>
      <c r="C798" t="inlineStr">
        <is>
          <t>Jordan</t>
        </is>
      </c>
      <c r="D798" t="n">
        <v>17</v>
      </c>
      <c r="E798" t="inlineStr">
        <is>
          <t>JOR17</t>
        </is>
      </c>
      <c r="F798" t="inlineStr">
        <is>
          <t>Mahmoud Al-Mardi - Jordan</t>
        </is>
      </c>
      <c r="G798" t="inlineStr">
        <is>
          <t>Base</t>
        </is>
      </c>
      <c r="I798" t="n">
        <v>0</v>
      </c>
    </row>
    <row r="799" ht="20" customHeight="1">
      <c r="A799" t="inlineStr">
        <is>
          <t>Grupo J</t>
        </is>
      </c>
      <c r="B799" t="inlineStr">
        <is>
          <t>JOR</t>
        </is>
      </c>
      <c r="C799" t="inlineStr">
        <is>
          <t>Jordan</t>
        </is>
      </c>
      <c r="D799" t="n">
        <v>18</v>
      </c>
      <c r="E799" t="inlineStr">
        <is>
          <t>JOR18</t>
        </is>
      </c>
      <c r="F799" t="inlineStr">
        <is>
          <t>Ali Olwan - Jordan</t>
        </is>
      </c>
      <c r="G799" t="inlineStr">
        <is>
          <t>Base</t>
        </is>
      </c>
      <c r="I799" t="n">
        <v>0</v>
      </c>
    </row>
    <row r="800" ht="20" customHeight="1">
      <c r="A800" t="inlineStr">
        <is>
          <t>Grupo J</t>
        </is>
      </c>
      <c r="B800" t="inlineStr">
        <is>
          <t>JOR</t>
        </is>
      </c>
      <c r="C800" t="inlineStr">
        <is>
          <t>Jordan</t>
        </is>
      </c>
      <c r="D800" t="n">
        <v>19</v>
      </c>
      <c r="E800" t="inlineStr">
        <is>
          <t>JOR19</t>
        </is>
      </c>
      <c r="F800" t="inlineStr">
        <is>
          <t>Mohammad Abu Zrayq - Jordan</t>
        </is>
      </c>
      <c r="G800" t="inlineStr">
        <is>
          <t>Base</t>
        </is>
      </c>
      <c r="I800" t="n">
        <v>0</v>
      </c>
    </row>
    <row r="801" ht="20" customHeight="1">
      <c r="A801" t="inlineStr">
        <is>
          <t>Grupo J</t>
        </is>
      </c>
      <c r="B801" t="inlineStr">
        <is>
          <t>JOR</t>
        </is>
      </c>
      <c r="C801" t="inlineStr">
        <is>
          <t>Jordan</t>
        </is>
      </c>
      <c r="D801" t="n">
        <v>20</v>
      </c>
      <c r="E801" t="inlineStr">
        <is>
          <t>JOR20</t>
        </is>
      </c>
      <c r="F801" t="inlineStr">
        <is>
          <t>Ibrahim Sabra - Jordan</t>
        </is>
      </c>
      <c r="G801" t="inlineStr">
        <is>
          <t>Base</t>
        </is>
      </c>
      <c r="I801" t="n">
        <v>0</v>
      </c>
    </row>
    <row r="802" ht="20" customHeight="1">
      <c r="A802" t="inlineStr">
        <is>
          <t>Grupo K</t>
        </is>
      </c>
      <c r="B802" t="inlineStr">
        <is>
          <t>POR</t>
        </is>
      </c>
      <c r="C802" t="inlineStr">
        <is>
          <t>Portugal</t>
        </is>
      </c>
      <c r="D802" t="n">
        <v>1</v>
      </c>
      <c r="E802" t="inlineStr">
        <is>
          <t>POR1</t>
        </is>
      </c>
      <c r="F802" t="inlineStr">
        <is>
          <t>Team Logo - Portugal FOIL</t>
        </is>
      </c>
      <c r="G802" t="inlineStr">
        <is>
          <t>FOIL</t>
        </is>
      </c>
      <c r="I802" t="n">
        <v>0</v>
      </c>
    </row>
    <row r="803" ht="20" customHeight="1">
      <c r="A803" t="inlineStr">
        <is>
          <t>Grupo K</t>
        </is>
      </c>
      <c r="B803" t="inlineStr">
        <is>
          <t>POR</t>
        </is>
      </c>
      <c r="C803" t="inlineStr">
        <is>
          <t>Portugal</t>
        </is>
      </c>
      <c r="D803" t="n">
        <v>2</v>
      </c>
      <c r="E803" t="inlineStr">
        <is>
          <t>POR2</t>
        </is>
      </c>
      <c r="F803" t="inlineStr">
        <is>
          <t>Diogo Costa - Portugal</t>
        </is>
      </c>
      <c r="G803" t="inlineStr">
        <is>
          <t>Base</t>
        </is>
      </c>
      <c r="I803" t="n">
        <v>0</v>
      </c>
    </row>
    <row r="804" ht="20" customHeight="1">
      <c r="A804" t="inlineStr">
        <is>
          <t>Grupo K</t>
        </is>
      </c>
      <c r="B804" t="inlineStr">
        <is>
          <t>POR</t>
        </is>
      </c>
      <c r="C804" t="inlineStr">
        <is>
          <t>Portugal</t>
        </is>
      </c>
      <c r="D804" t="n">
        <v>3</v>
      </c>
      <c r="E804" t="inlineStr">
        <is>
          <t>POR3</t>
        </is>
      </c>
      <c r="F804" t="inlineStr">
        <is>
          <t>Jose Sa - Portugal</t>
        </is>
      </c>
      <c r="G804" t="inlineStr">
        <is>
          <t>Base</t>
        </is>
      </c>
      <c r="I804" t="n">
        <v>0</v>
      </c>
    </row>
    <row r="805" ht="20" customHeight="1">
      <c r="A805" t="inlineStr">
        <is>
          <t>Grupo K</t>
        </is>
      </c>
      <c r="B805" t="inlineStr">
        <is>
          <t>POR</t>
        </is>
      </c>
      <c r="C805" t="inlineStr">
        <is>
          <t>Portugal</t>
        </is>
      </c>
      <c r="D805" t="n">
        <v>4</v>
      </c>
      <c r="E805" t="inlineStr">
        <is>
          <t>POR4</t>
        </is>
      </c>
      <c r="F805" t="inlineStr">
        <is>
          <t>Ruben Dias - Portugal</t>
        </is>
      </c>
      <c r="G805" t="inlineStr">
        <is>
          <t>Base</t>
        </is>
      </c>
      <c r="I805" t="n">
        <v>0</v>
      </c>
    </row>
    <row r="806" ht="20" customHeight="1">
      <c r="A806" t="inlineStr">
        <is>
          <t>Grupo K</t>
        </is>
      </c>
      <c r="B806" t="inlineStr">
        <is>
          <t>POR</t>
        </is>
      </c>
      <c r="C806" t="inlineStr">
        <is>
          <t>Portugal</t>
        </is>
      </c>
      <c r="D806" t="n">
        <v>5</v>
      </c>
      <c r="E806" t="inlineStr">
        <is>
          <t>POR5</t>
        </is>
      </c>
      <c r="F806" t="inlineStr">
        <is>
          <t>João Cancelo - Portugal</t>
        </is>
      </c>
      <c r="G806" t="inlineStr">
        <is>
          <t>Base</t>
        </is>
      </c>
      <c r="I806" t="n">
        <v>0</v>
      </c>
    </row>
    <row r="807" ht="20" customHeight="1">
      <c r="A807" t="inlineStr">
        <is>
          <t>Grupo K</t>
        </is>
      </c>
      <c r="B807" t="inlineStr">
        <is>
          <t>POR</t>
        </is>
      </c>
      <c r="C807" t="inlineStr">
        <is>
          <t>Portugal</t>
        </is>
      </c>
      <c r="D807" t="n">
        <v>6</v>
      </c>
      <c r="E807" t="inlineStr">
        <is>
          <t>POR6</t>
        </is>
      </c>
      <c r="F807" t="inlineStr">
        <is>
          <t>Diogo Dalot - Portugal</t>
        </is>
      </c>
      <c r="G807" t="inlineStr">
        <is>
          <t>Base</t>
        </is>
      </c>
      <c r="I807" t="n">
        <v>0</v>
      </c>
    </row>
    <row r="808" ht="20" customHeight="1">
      <c r="A808" t="inlineStr">
        <is>
          <t>Grupo K</t>
        </is>
      </c>
      <c r="B808" t="inlineStr">
        <is>
          <t>POR</t>
        </is>
      </c>
      <c r="C808" t="inlineStr">
        <is>
          <t>Portugal</t>
        </is>
      </c>
      <c r="D808" t="n">
        <v>7</v>
      </c>
      <c r="E808" t="inlineStr">
        <is>
          <t>POR7</t>
        </is>
      </c>
      <c r="F808" t="inlineStr">
        <is>
          <t>Nuno Mendes - Portugal</t>
        </is>
      </c>
      <c r="G808" t="inlineStr">
        <is>
          <t>Base</t>
        </is>
      </c>
      <c r="I808" t="n">
        <v>0</v>
      </c>
    </row>
    <row r="809" ht="20" customHeight="1">
      <c r="A809" t="inlineStr">
        <is>
          <t>Grupo K</t>
        </is>
      </c>
      <c r="B809" t="inlineStr">
        <is>
          <t>POR</t>
        </is>
      </c>
      <c r="C809" t="inlineStr">
        <is>
          <t>Portugal</t>
        </is>
      </c>
      <c r="D809" t="n">
        <v>8</v>
      </c>
      <c r="E809" t="inlineStr">
        <is>
          <t>POR8</t>
        </is>
      </c>
      <c r="F809" t="inlineStr">
        <is>
          <t>Gonçalo Inácio - Portugal</t>
        </is>
      </c>
      <c r="G809" t="inlineStr">
        <is>
          <t>Base</t>
        </is>
      </c>
      <c r="I809" t="n">
        <v>0</v>
      </c>
    </row>
    <row r="810" ht="20" customHeight="1">
      <c r="A810" t="inlineStr">
        <is>
          <t>Grupo K</t>
        </is>
      </c>
      <c r="B810" t="inlineStr">
        <is>
          <t>POR</t>
        </is>
      </c>
      <c r="C810" t="inlineStr">
        <is>
          <t>Portugal</t>
        </is>
      </c>
      <c r="D810" t="n">
        <v>9</v>
      </c>
      <c r="E810" t="inlineStr">
        <is>
          <t>POR9</t>
        </is>
      </c>
      <c r="F810" t="inlineStr">
        <is>
          <t>Bernardo Silva - Portugal</t>
        </is>
      </c>
      <c r="G810" t="inlineStr">
        <is>
          <t>Base</t>
        </is>
      </c>
      <c r="I810" t="n">
        <v>0</v>
      </c>
    </row>
    <row r="811" ht="20" customHeight="1">
      <c r="A811" t="inlineStr">
        <is>
          <t>Grupo K</t>
        </is>
      </c>
      <c r="B811" t="inlineStr">
        <is>
          <t>POR</t>
        </is>
      </c>
      <c r="C811" t="inlineStr">
        <is>
          <t>Portugal</t>
        </is>
      </c>
      <c r="D811" t="n">
        <v>10</v>
      </c>
      <c r="E811" t="inlineStr">
        <is>
          <t>POR10</t>
        </is>
      </c>
      <c r="F811" t="inlineStr">
        <is>
          <t>Bruno Fernandes - Portugal</t>
        </is>
      </c>
      <c r="G811" t="inlineStr">
        <is>
          <t>Base</t>
        </is>
      </c>
      <c r="I811" t="n">
        <v>0</v>
      </c>
    </row>
    <row r="812" ht="20" customHeight="1">
      <c r="A812" t="inlineStr">
        <is>
          <t>Grupo K</t>
        </is>
      </c>
      <c r="B812" t="inlineStr">
        <is>
          <t>POR</t>
        </is>
      </c>
      <c r="C812" t="inlineStr">
        <is>
          <t>Portugal</t>
        </is>
      </c>
      <c r="D812" t="n">
        <v>11</v>
      </c>
      <c r="E812" t="inlineStr">
        <is>
          <t>POR11</t>
        </is>
      </c>
      <c r="F812" t="inlineStr">
        <is>
          <t>Ruben Neves - Portugal</t>
        </is>
      </c>
      <c r="G812" t="inlineStr">
        <is>
          <t>Base</t>
        </is>
      </c>
      <c r="I812" t="n">
        <v>0</v>
      </c>
    </row>
    <row r="813" ht="20" customHeight="1">
      <c r="A813" t="inlineStr">
        <is>
          <t>Grupo K</t>
        </is>
      </c>
      <c r="B813" t="inlineStr">
        <is>
          <t>POR</t>
        </is>
      </c>
      <c r="C813" t="inlineStr">
        <is>
          <t>Portugal</t>
        </is>
      </c>
      <c r="D813" t="n">
        <v>12</v>
      </c>
      <c r="E813" t="inlineStr">
        <is>
          <t>POR12</t>
        </is>
      </c>
      <c r="F813" t="inlineStr">
        <is>
          <t>Vitinha - Portugal</t>
        </is>
      </c>
      <c r="G813" t="inlineStr">
        <is>
          <t>Base</t>
        </is>
      </c>
      <c r="I813" t="n">
        <v>0</v>
      </c>
    </row>
    <row r="814" ht="20" customHeight="1">
      <c r="A814" t="inlineStr">
        <is>
          <t>Grupo K</t>
        </is>
      </c>
      <c r="B814" t="inlineStr">
        <is>
          <t>POR</t>
        </is>
      </c>
      <c r="C814" t="inlineStr">
        <is>
          <t>Portugal</t>
        </is>
      </c>
      <c r="D814" t="n">
        <v>13</v>
      </c>
      <c r="E814" t="inlineStr">
        <is>
          <t>POR13</t>
        </is>
      </c>
      <c r="F814" t="inlineStr">
        <is>
          <t>Team Photo - Portugal</t>
        </is>
      </c>
      <c r="G814" t="inlineStr">
        <is>
          <t>Base</t>
        </is>
      </c>
      <c r="I814" t="n">
        <v>0</v>
      </c>
    </row>
    <row r="815" ht="20" customHeight="1">
      <c r="A815" t="inlineStr">
        <is>
          <t>Grupo K</t>
        </is>
      </c>
      <c r="B815" t="inlineStr">
        <is>
          <t>POR</t>
        </is>
      </c>
      <c r="C815" t="inlineStr">
        <is>
          <t>Portugal</t>
        </is>
      </c>
      <c r="D815" t="n">
        <v>14</v>
      </c>
      <c r="E815" t="inlineStr">
        <is>
          <t>POR14</t>
        </is>
      </c>
      <c r="F815" t="inlineStr">
        <is>
          <t>João Neves - Portugal</t>
        </is>
      </c>
      <c r="G815" t="inlineStr">
        <is>
          <t>Base</t>
        </is>
      </c>
      <c r="I815" t="n">
        <v>0</v>
      </c>
    </row>
    <row r="816" ht="20" customHeight="1">
      <c r="A816" t="inlineStr">
        <is>
          <t>Grupo K</t>
        </is>
      </c>
      <c r="B816" t="inlineStr">
        <is>
          <t>POR</t>
        </is>
      </c>
      <c r="C816" t="inlineStr">
        <is>
          <t>Portugal</t>
        </is>
      </c>
      <c r="D816" t="n">
        <v>15</v>
      </c>
      <c r="E816" t="inlineStr">
        <is>
          <t>POR15</t>
        </is>
      </c>
      <c r="F816" t="inlineStr">
        <is>
          <t>Cristiano Ronaldo - Portugal</t>
        </is>
      </c>
      <c r="G816" t="inlineStr">
        <is>
          <t>Base</t>
        </is>
      </c>
      <c r="I816" t="n">
        <v>0</v>
      </c>
    </row>
    <row r="817" ht="20" customHeight="1">
      <c r="A817" t="inlineStr">
        <is>
          <t>Grupo K</t>
        </is>
      </c>
      <c r="B817" t="inlineStr">
        <is>
          <t>POR</t>
        </is>
      </c>
      <c r="C817" t="inlineStr">
        <is>
          <t>Portugal</t>
        </is>
      </c>
      <c r="D817" t="n">
        <v>16</v>
      </c>
      <c r="E817" t="inlineStr">
        <is>
          <t>POR16</t>
        </is>
      </c>
      <c r="F817" t="inlineStr">
        <is>
          <t>Francisco Trincao - Portugal</t>
        </is>
      </c>
      <c r="G817" t="inlineStr">
        <is>
          <t>Base</t>
        </is>
      </c>
      <c r="I817" t="n">
        <v>0</v>
      </c>
    </row>
    <row r="818" ht="20" customHeight="1">
      <c r="A818" t="inlineStr">
        <is>
          <t>Grupo K</t>
        </is>
      </c>
      <c r="B818" t="inlineStr">
        <is>
          <t>POR</t>
        </is>
      </c>
      <c r="C818" t="inlineStr">
        <is>
          <t>Portugal</t>
        </is>
      </c>
      <c r="D818" t="n">
        <v>17</v>
      </c>
      <c r="E818" t="inlineStr">
        <is>
          <t>POR17</t>
        </is>
      </c>
      <c r="F818" t="inlineStr">
        <is>
          <t>João Felix - Portugal</t>
        </is>
      </c>
      <c r="G818" t="inlineStr">
        <is>
          <t>Base</t>
        </is>
      </c>
      <c r="I818" t="n">
        <v>0</v>
      </c>
    </row>
    <row r="819" ht="20" customHeight="1">
      <c r="A819" t="inlineStr">
        <is>
          <t>Grupo K</t>
        </is>
      </c>
      <c r="B819" t="inlineStr">
        <is>
          <t>POR</t>
        </is>
      </c>
      <c r="C819" t="inlineStr">
        <is>
          <t>Portugal</t>
        </is>
      </c>
      <c r="D819" t="n">
        <v>18</v>
      </c>
      <c r="E819" t="inlineStr">
        <is>
          <t>POR18</t>
        </is>
      </c>
      <c r="F819" t="inlineStr">
        <is>
          <t>Gonçalo Ramos - Portugal</t>
        </is>
      </c>
      <c r="G819" t="inlineStr">
        <is>
          <t>Base</t>
        </is>
      </c>
      <c r="I819" t="n">
        <v>0</v>
      </c>
    </row>
    <row r="820" ht="20" customHeight="1">
      <c r="A820" t="inlineStr">
        <is>
          <t>Grupo K</t>
        </is>
      </c>
      <c r="B820" t="inlineStr">
        <is>
          <t>POR</t>
        </is>
      </c>
      <c r="C820" t="inlineStr">
        <is>
          <t>Portugal</t>
        </is>
      </c>
      <c r="D820" t="n">
        <v>19</v>
      </c>
      <c r="E820" t="inlineStr">
        <is>
          <t>POR19</t>
        </is>
      </c>
      <c r="F820" t="inlineStr">
        <is>
          <t>Pedro Neto - Portugal</t>
        </is>
      </c>
      <c r="G820" t="inlineStr">
        <is>
          <t>Base</t>
        </is>
      </c>
      <c r="I820" t="n">
        <v>0</v>
      </c>
    </row>
    <row r="821" ht="20" customHeight="1">
      <c r="A821" t="inlineStr">
        <is>
          <t>Grupo K</t>
        </is>
      </c>
      <c r="B821" t="inlineStr">
        <is>
          <t>POR</t>
        </is>
      </c>
      <c r="C821" t="inlineStr">
        <is>
          <t>Portugal</t>
        </is>
      </c>
      <c r="D821" t="n">
        <v>20</v>
      </c>
      <c r="E821" t="inlineStr">
        <is>
          <t>POR20</t>
        </is>
      </c>
      <c r="F821" t="inlineStr">
        <is>
          <t>Rafael Leão - Portugal</t>
        </is>
      </c>
      <c r="G821" t="inlineStr">
        <is>
          <t>Base</t>
        </is>
      </c>
      <c r="I821" t="n">
        <v>0</v>
      </c>
    </row>
    <row r="822" ht="20" customHeight="1">
      <c r="A822" t="inlineStr">
        <is>
          <t>Grupo K</t>
        </is>
      </c>
      <c r="B822" t="inlineStr">
        <is>
          <t>COD</t>
        </is>
      </c>
      <c r="C822" t="inlineStr">
        <is>
          <t>Congo DR</t>
        </is>
      </c>
      <c r="D822" t="n">
        <v>1</v>
      </c>
      <c r="E822" t="inlineStr">
        <is>
          <t>COD1</t>
        </is>
      </c>
      <c r="F822" t="inlineStr">
        <is>
          <t>Team Logo - Congo DR FOIL</t>
        </is>
      </c>
      <c r="G822" t="inlineStr">
        <is>
          <t>FOIL</t>
        </is>
      </c>
      <c r="I822" t="n">
        <v>0</v>
      </c>
    </row>
    <row r="823" ht="20" customHeight="1">
      <c r="A823" t="inlineStr">
        <is>
          <t>Grupo K</t>
        </is>
      </c>
      <c r="B823" t="inlineStr">
        <is>
          <t>COD</t>
        </is>
      </c>
      <c r="C823" t="inlineStr">
        <is>
          <t>Congo DR</t>
        </is>
      </c>
      <c r="D823" t="n">
        <v>2</v>
      </c>
      <c r="E823" t="inlineStr">
        <is>
          <t>COD2</t>
        </is>
      </c>
      <c r="F823" t="inlineStr">
        <is>
          <t>Lionel Mpasi - Congo DR</t>
        </is>
      </c>
      <c r="G823" t="inlineStr">
        <is>
          <t>Base</t>
        </is>
      </c>
      <c r="I823" t="n">
        <v>0</v>
      </c>
    </row>
    <row r="824" ht="20" customHeight="1">
      <c r="A824" t="inlineStr">
        <is>
          <t>Grupo K</t>
        </is>
      </c>
      <c r="B824" t="inlineStr">
        <is>
          <t>COD</t>
        </is>
      </c>
      <c r="C824" t="inlineStr">
        <is>
          <t>Congo DR</t>
        </is>
      </c>
      <c r="D824" t="n">
        <v>3</v>
      </c>
      <c r="E824" t="inlineStr">
        <is>
          <t>COD3</t>
        </is>
      </c>
      <c r="F824" t="inlineStr">
        <is>
          <t>Aaron Wan-Bissaka - Congo DR</t>
        </is>
      </c>
      <c r="G824" t="inlineStr">
        <is>
          <t>Base</t>
        </is>
      </c>
      <c r="I824" t="n">
        <v>0</v>
      </c>
    </row>
    <row r="825" ht="20" customHeight="1">
      <c r="A825" t="inlineStr">
        <is>
          <t>Grupo K</t>
        </is>
      </c>
      <c r="B825" t="inlineStr">
        <is>
          <t>COD</t>
        </is>
      </c>
      <c r="C825" t="inlineStr">
        <is>
          <t>Congo DR</t>
        </is>
      </c>
      <c r="D825" t="n">
        <v>4</v>
      </c>
      <c r="E825" t="inlineStr">
        <is>
          <t>COD4</t>
        </is>
      </c>
      <c r="F825" t="inlineStr">
        <is>
          <t>Axel Tuanzebe - Congo DR</t>
        </is>
      </c>
      <c r="G825" t="inlineStr">
        <is>
          <t>Base</t>
        </is>
      </c>
      <c r="I825" t="n">
        <v>0</v>
      </c>
    </row>
    <row r="826" ht="20" customHeight="1">
      <c r="A826" t="inlineStr">
        <is>
          <t>Grupo K</t>
        </is>
      </c>
      <c r="B826" t="inlineStr">
        <is>
          <t>COD</t>
        </is>
      </c>
      <c r="C826" t="inlineStr">
        <is>
          <t>Congo DR</t>
        </is>
      </c>
      <c r="D826" t="n">
        <v>5</v>
      </c>
      <c r="E826" t="inlineStr">
        <is>
          <t>COD5</t>
        </is>
      </c>
      <c r="F826" t="inlineStr">
        <is>
          <t>Arthur Masuaku - Congo DR</t>
        </is>
      </c>
      <c r="G826" t="inlineStr">
        <is>
          <t>Base</t>
        </is>
      </c>
      <c r="I826" t="n">
        <v>0</v>
      </c>
    </row>
    <row r="827" ht="20" customHeight="1">
      <c r="A827" t="inlineStr">
        <is>
          <t>Grupo K</t>
        </is>
      </c>
      <c r="B827" t="inlineStr">
        <is>
          <t>COD</t>
        </is>
      </c>
      <c r="C827" t="inlineStr">
        <is>
          <t>Congo DR</t>
        </is>
      </c>
      <c r="D827" t="n">
        <v>6</v>
      </c>
      <c r="E827" t="inlineStr">
        <is>
          <t>COD6</t>
        </is>
      </c>
      <c r="F827" t="inlineStr">
        <is>
          <t>Chancel Mbemba - Congo DR</t>
        </is>
      </c>
      <c r="G827" t="inlineStr">
        <is>
          <t>Base</t>
        </is>
      </c>
      <c r="I827" t="n">
        <v>0</v>
      </c>
    </row>
    <row r="828" ht="20" customHeight="1">
      <c r="A828" t="inlineStr">
        <is>
          <t>Grupo K</t>
        </is>
      </c>
      <c r="B828" t="inlineStr">
        <is>
          <t>COD</t>
        </is>
      </c>
      <c r="C828" t="inlineStr">
        <is>
          <t>Congo DR</t>
        </is>
      </c>
      <c r="D828" t="n">
        <v>7</v>
      </c>
      <c r="E828" t="inlineStr">
        <is>
          <t>COD7</t>
        </is>
      </c>
      <c r="F828" t="inlineStr">
        <is>
          <t>Joris Kayembe - Congo DR</t>
        </is>
      </c>
      <c r="G828" t="inlineStr">
        <is>
          <t>Base</t>
        </is>
      </c>
      <c r="I828" t="n">
        <v>0</v>
      </c>
    </row>
    <row r="829" ht="20" customHeight="1">
      <c r="A829" t="inlineStr">
        <is>
          <t>Grupo K</t>
        </is>
      </c>
      <c r="B829" t="inlineStr">
        <is>
          <t>COD</t>
        </is>
      </c>
      <c r="C829" t="inlineStr">
        <is>
          <t>Congo DR</t>
        </is>
      </c>
      <c r="D829" t="n">
        <v>8</v>
      </c>
      <c r="E829" t="inlineStr">
        <is>
          <t>COD8</t>
        </is>
      </c>
      <c r="F829" t="inlineStr">
        <is>
          <t>Charles Pickel - Congo DR</t>
        </is>
      </c>
      <c r="G829" t="inlineStr">
        <is>
          <t>Base</t>
        </is>
      </c>
      <c r="I829" t="n">
        <v>0</v>
      </c>
    </row>
    <row r="830" ht="20" customHeight="1">
      <c r="A830" t="inlineStr">
        <is>
          <t>Grupo K</t>
        </is>
      </c>
      <c r="B830" t="inlineStr">
        <is>
          <t>COD</t>
        </is>
      </c>
      <c r="C830" t="inlineStr">
        <is>
          <t>Congo DR</t>
        </is>
      </c>
      <c r="D830" t="n">
        <v>9</v>
      </c>
      <c r="E830" t="inlineStr">
        <is>
          <t>COD9</t>
        </is>
      </c>
      <c r="F830" t="inlineStr">
        <is>
          <t>Ngal'ayel Mukau - Congo DR</t>
        </is>
      </c>
      <c r="G830" t="inlineStr">
        <is>
          <t>Base</t>
        </is>
      </c>
      <c r="I830" t="n">
        <v>0</v>
      </c>
    </row>
    <row r="831" ht="20" customHeight="1">
      <c r="A831" t="inlineStr">
        <is>
          <t>Grupo K</t>
        </is>
      </c>
      <c r="B831" t="inlineStr">
        <is>
          <t>COD</t>
        </is>
      </c>
      <c r="C831" t="inlineStr">
        <is>
          <t>Congo DR</t>
        </is>
      </c>
      <c r="D831" t="n">
        <v>10</v>
      </c>
      <c r="E831" t="inlineStr">
        <is>
          <t>COD10</t>
        </is>
      </c>
      <c r="F831" t="inlineStr">
        <is>
          <t>Edo Kayembe - Congo DR</t>
        </is>
      </c>
      <c r="G831" t="inlineStr">
        <is>
          <t>Base</t>
        </is>
      </c>
      <c r="I831" t="n">
        <v>0</v>
      </c>
    </row>
    <row r="832" ht="20" customHeight="1">
      <c r="A832" t="inlineStr">
        <is>
          <t>Grupo K</t>
        </is>
      </c>
      <c r="B832" t="inlineStr">
        <is>
          <t>COD</t>
        </is>
      </c>
      <c r="C832" t="inlineStr">
        <is>
          <t>Congo DR</t>
        </is>
      </c>
      <c r="D832" t="n">
        <v>11</v>
      </c>
      <c r="E832" t="inlineStr">
        <is>
          <t>COD11</t>
        </is>
      </c>
      <c r="F832" t="inlineStr">
        <is>
          <t>Samuel Moutoussamy - Congo DR</t>
        </is>
      </c>
      <c r="G832" t="inlineStr">
        <is>
          <t>Base</t>
        </is>
      </c>
      <c r="I832" t="n">
        <v>0</v>
      </c>
    </row>
    <row r="833" ht="20" customHeight="1">
      <c r="A833" t="inlineStr">
        <is>
          <t>Grupo K</t>
        </is>
      </c>
      <c r="B833" t="inlineStr">
        <is>
          <t>COD</t>
        </is>
      </c>
      <c r="C833" t="inlineStr">
        <is>
          <t>Congo DR</t>
        </is>
      </c>
      <c r="D833" t="n">
        <v>12</v>
      </c>
      <c r="E833" t="inlineStr">
        <is>
          <t>COD12</t>
        </is>
      </c>
      <c r="F833" t="inlineStr">
        <is>
          <t>Noah Sadiki - Congo DR</t>
        </is>
      </c>
      <c r="G833" t="inlineStr">
        <is>
          <t>Base</t>
        </is>
      </c>
      <c r="I833" t="n">
        <v>0</v>
      </c>
    </row>
    <row r="834" ht="20" customHeight="1">
      <c r="A834" t="inlineStr">
        <is>
          <t>Grupo K</t>
        </is>
      </c>
      <c r="B834" t="inlineStr">
        <is>
          <t>COD</t>
        </is>
      </c>
      <c r="C834" t="inlineStr">
        <is>
          <t>Congo DR</t>
        </is>
      </c>
      <c r="D834" t="n">
        <v>13</v>
      </c>
      <c r="E834" t="inlineStr">
        <is>
          <t>COD13</t>
        </is>
      </c>
      <c r="F834" t="inlineStr">
        <is>
          <t>Team Photo - Congo DR</t>
        </is>
      </c>
      <c r="G834" t="inlineStr">
        <is>
          <t>Base</t>
        </is>
      </c>
      <c r="I834" t="n">
        <v>0</v>
      </c>
    </row>
    <row r="835" ht="20" customHeight="1">
      <c r="A835" t="inlineStr">
        <is>
          <t>Grupo K</t>
        </is>
      </c>
      <c r="B835" t="inlineStr">
        <is>
          <t>COD</t>
        </is>
      </c>
      <c r="C835" t="inlineStr">
        <is>
          <t>Congo DR</t>
        </is>
      </c>
      <c r="D835" t="n">
        <v>14</v>
      </c>
      <c r="E835" t="inlineStr">
        <is>
          <t>COD14</t>
        </is>
      </c>
      <c r="F835" t="inlineStr">
        <is>
          <t>Théo Bongonda - Congo DR</t>
        </is>
      </c>
      <c r="G835" t="inlineStr">
        <is>
          <t>Base</t>
        </is>
      </c>
      <c r="I835" t="n">
        <v>0</v>
      </c>
    </row>
    <row r="836" ht="20" customHeight="1">
      <c r="A836" t="inlineStr">
        <is>
          <t>Grupo K</t>
        </is>
      </c>
      <c r="B836" t="inlineStr">
        <is>
          <t>COD</t>
        </is>
      </c>
      <c r="C836" t="inlineStr">
        <is>
          <t>Congo DR</t>
        </is>
      </c>
      <c r="D836" t="n">
        <v>15</v>
      </c>
      <c r="E836" t="inlineStr">
        <is>
          <t>COD15</t>
        </is>
      </c>
      <c r="F836" t="inlineStr">
        <is>
          <t>Meschak Elia - Congo DR</t>
        </is>
      </c>
      <c r="G836" t="inlineStr">
        <is>
          <t>Base</t>
        </is>
      </c>
      <c r="I836" t="n">
        <v>0</v>
      </c>
    </row>
    <row r="837" ht="20" customHeight="1">
      <c r="A837" t="inlineStr">
        <is>
          <t>Grupo K</t>
        </is>
      </c>
      <c r="B837" t="inlineStr">
        <is>
          <t>COD</t>
        </is>
      </c>
      <c r="C837" t="inlineStr">
        <is>
          <t>Congo DR</t>
        </is>
      </c>
      <c r="D837" t="n">
        <v>16</v>
      </c>
      <c r="E837" t="inlineStr">
        <is>
          <t>COD16</t>
        </is>
      </c>
      <c r="F837" t="inlineStr">
        <is>
          <t>Yoane Wissa - Congo DR</t>
        </is>
      </c>
      <c r="G837" t="inlineStr">
        <is>
          <t>Base</t>
        </is>
      </c>
      <c r="I837" t="n">
        <v>0</v>
      </c>
    </row>
    <row r="838" ht="20" customHeight="1">
      <c r="A838" t="inlineStr">
        <is>
          <t>Grupo K</t>
        </is>
      </c>
      <c r="B838" t="inlineStr">
        <is>
          <t>COD</t>
        </is>
      </c>
      <c r="C838" t="inlineStr">
        <is>
          <t>Congo DR</t>
        </is>
      </c>
      <c r="D838" t="n">
        <v>17</v>
      </c>
      <c r="E838" t="inlineStr">
        <is>
          <t>COD17</t>
        </is>
      </c>
      <c r="F838" t="inlineStr">
        <is>
          <t>Brian Cipenga - Congo DR</t>
        </is>
      </c>
      <c r="G838" t="inlineStr">
        <is>
          <t>Base</t>
        </is>
      </c>
      <c r="I838" t="n">
        <v>0</v>
      </c>
    </row>
    <row r="839" ht="20" customHeight="1">
      <c r="A839" t="inlineStr">
        <is>
          <t>Grupo K</t>
        </is>
      </c>
      <c r="B839" t="inlineStr">
        <is>
          <t>COD</t>
        </is>
      </c>
      <c r="C839" t="inlineStr">
        <is>
          <t>Congo DR</t>
        </is>
      </c>
      <c r="D839" t="n">
        <v>18</v>
      </c>
      <c r="E839" t="inlineStr">
        <is>
          <t>COD18</t>
        </is>
      </c>
      <c r="F839" t="inlineStr">
        <is>
          <t>Fiston Mayele - Congo DR</t>
        </is>
      </c>
      <c r="G839" t="inlineStr">
        <is>
          <t>Base</t>
        </is>
      </c>
      <c r="I839" t="n">
        <v>0</v>
      </c>
    </row>
    <row r="840" ht="20" customHeight="1">
      <c r="A840" t="inlineStr">
        <is>
          <t>Grupo K</t>
        </is>
      </c>
      <c r="B840" t="inlineStr">
        <is>
          <t>COD</t>
        </is>
      </c>
      <c r="C840" t="inlineStr">
        <is>
          <t>Congo DR</t>
        </is>
      </c>
      <c r="D840" t="n">
        <v>19</v>
      </c>
      <c r="E840" t="inlineStr">
        <is>
          <t>COD19</t>
        </is>
      </c>
      <c r="F840" t="inlineStr">
        <is>
          <t>Cédric Bakambu - Congo DR</t>
        </is>
      </c>
      <c r="G840" t="inlineStr">
        <is>
          <t>Base</t>
        </is>
      </c>
      <c r="I840" t="n">
        <v>0</v>
      </c>
    </row>
    <row r="841" ht="20" customHeight="1">
      <c r="A841" t="inlineStr">
        <is>
          <t>Grupo K</t>
        </is>
      </c>
      <c r="B841" t="inlineStr">
        <is>
          <t>COD</t>
        </is>
      </c>
      <c r="C841" t="inlineStr">
        <is>
          <t>Congo DR</t>
        </is>
      </c>
      <c r="D841" t="n">
        <v>20</v>
      </c>
      <c r="E841" t="inlineStr">
        <is>
          <t>COD20</t>
        </is>
      </c>
      <c r="F841" t="inlineStr">
        <is>
          <t>Nathanaël Mbuku - Congo DR</t>
        </is>
      </c>
      <c r="G841" t="inlineStr">
        <is>
          <t>Base</t>
        </is>
      </c>
      <c r="I841" t="n">
        <v>0</v>
      </c>
    </row>
    <row r="842" ht="20" customHeight="1">
      <c r="A842" t="inlineStr">
        <is>
          <t>Grupo K</t>
        </is>
      </c>
      <c r="B842" t="inlineStr">
        <is>
          <t>UZB</t>
        </is>
      </c>
      <c r="C842" t="inlineStr">
        <is>
          <t>Uzbekistan</t>
        </is>
      </c>
      <c r="D842" t="n">
        <v>1</v>
      </c>
      <c r="E842" t="inlineStr">
        <is>
          <t>UZB1</t>
        </is>
      </c>
      <c r="F842" t="inlineStr">
        <is>
          <t>Team Logo - Uzbekistan FOIL</t>
        </is>
      </c>
      <c r="G842" t="inlineStr">
        <is>
          <t>FOIL</t>
        </is>
      </c>
      <c r="I842" t="n">
        <v>0</v>
      </c>
    </row>
    <row r="843" ht="20" customHeight="1">
      <c r="A843" t="inlineStr">
        <is>
          <t>Grupo K</t>
        </is>
      </c>
      <c r="B843" t="inlineStr">
        <is>
          <t>UZB</t>
        </is>
      </c>
      <c r="C843" t="inlineStr">
        <is>
          <t>Uzbekistan</t>
        </is>
      </c>
      <c r="D843" t="n">
        <v>2</v>
      </c>
      <c r="E843" t="inlineStr">
        <is>
          <t>UZB2</t>
        </is>
      </c>
      <c r="F843" t="inlineStr">
        <is>
          <t>Utkir Yusupov - Uzbekistan</t>
        </is>
      </c>
      <c r="G843" t="inlineStr">
        <is>
          <t>Base</t>
        </is>
      </c>
      <c r="I843" t="n">
        <v>0</v>
      </c>
    </row>
    <row r="844" ht="20" customHeight="1">
      <c r="A844" t="inlineStr">
        <is>
          <t>Grupo K</t>
        </is>
      </c>
      <c r="B844" t="inlineStr">
        <is>
          <t>UZB</t>
        </is>
      </c>
      <c r="C844" t="inlineStr">
        <is>
          <t>Uzbekistan</t>
        </is>
      </c>
      <c r="D844" t="n">
        <v>3</v>
      </c>
      <c r="E844" t="inlineStr">
        <is>
          <t>UZB3</t>
        </is>
      </c>
      <c r="F844" t="inlineStr">
        <is>
          <t>Farrukh Savfiev - Uzbekistan</t>
        </is>
      </c>
      <c r="G844" t="inlineStr">
        <is>
          <t>Base</t>
        </is>
      </c>
      <c r="I844" t="n">
        <v>0</v>
      </c>
    </row>
    <row r="845" ht="20" customHeight="1">
      <c r="A845" t="inlineStr">
        <is>
          <t>Grupo K</t>
        </is>
      </c>
      <c r="B845" t="inlineStr">
        <is>
          <t>UZB</t>
        </is>
      </c>
      <c r="C845" t="inlineStr">
        <is>
          <t>Uzbekistan</t>
        </is>
      </c>
      <c r="D845" t="n">
        <v>4</v>
      </c>
      <c r="E845" t="inlineStr">
        <is>
          <t>UZB4</t>
        </is>
      </c>
      <c r="F845" t="inlineStr">
        <is>
          <t>Sherzod Nasrullaev - Uzbekistan</t>
        </is>
      </c>
      <c r="G845" t="inlineStr">
        <is>
          <t>Base</t>
        </is>
      </c>
      <c r="I845" t="n">
        <v>0</v>
      </c>
    </row>
    <row r="846" ht="20" customHeight="1">
      <c r="A846" t="inlineStr">
        <is>
          <t>Grupo K</t>
        </is>
      </c>
      <c r="B846" t="inlineStr">
        <is>
          <t>UZB</t>
        </is>
      </c>
      <c r="C846" t="inlineStr">
        <is>
          <t>Uzbekistan</t>
        </is>
      </c>
      <c r="D846" t="n">
        <v>5</v>
      </c>
      <c r="E846" t="inlineStr">
        <is>
          <t>UZB5</t>
        </is>
      </c>
      <c r="F846" t="inlineStr">
        <is>
          <t>Umar Eshmurodov - Uzbekistan</t>
        </is>
      </c>
      <c r="G846" t="inlineStr">
        <is>
          <t>Base</t>
        </is>
      </c>
      <c r="I846" t="n">
        <v>0</v>
      </c>
    </row>
    <row r="847" ht="20" customHeight="1">
      <c r="A847" t="inlineStr">
        <is>
          <t>Grupo K</t>
        </is>
      </c>
      <c r="B847" t="inlineStr">
        <is>
          <t>UZB</t>
        </is>
      </c>
      <c r="C847" t="inlineStr">
        <is>
          <t>Uzbekistan</t>
        </is>
      </c>
      <c r="D847" t="n">
        <v>6</v>
      </c>
      <c r="E847" t="inlineStr">
        <is>
          <t>UZB6</t>
        </is>
      </c>
      <c r="F847" t="inlineStr">
        <is>
          <t>Husniddin Aliqulov - Uzbekistan</t>
        </is>
      </c>
      <c r="G847" t="inlineStr">
        <is>
          <t>Base</t>
        </is>
      </c>
      <c r="I847" t="n">
        <v>0</v>
      </c>
    </row>
    <row r="848" ht="20" customHeight="1">
      <c r="A848" t="inlineStr">
        <is>
          <t>Grupo K</t>
        </is>
      </c>
      <c r="B848" t="inlineStr">
        <is>
          <t>UZB</t>
        </is>
      </c>
      <c r="C848" t="inlineStr">
        <is>
          <t>Uzbekistan</t>
        </is>
      </c>
      <c r="D848" t="n">
        <v>7</v>
      </c>
      <c r="E848" t="inlineStr">
        <is>
          <t>UZB7</t>
        </is>
      </c>
      <c r="F848" t="inlineStr">
        <is>
          <t>Rustamjon Ashurmatov - Uzbekistan</t>
        </is>
      </c>
      <c r="G848" t="inlineStr">
        <is>
          <t>Base</t>
        </is>
      </c>
      <c r="I848" t="n">
        <v>0</v>
      </c>
    </row>
    <row r="849" ht="20" customHeight="1">
      <c r="A849" t="inlineStr">
        <is>
          <t>Grupo K</t>
        </is>
      </c>
      <c r="B849" t="inlineStr">
        <is>
          <t>UZB</t>
        </is>
      </c>
      <c r="C849" t="inlineStr">
        <is>
          <t>Uzbekistan</t>
        </is>
      </c>
      <c r="D849" t="n">
        <v>8</v>
      </c>
      <c r="E849" t="inlineStr">
        <is>
          <t>UZB8</t>
        </is>
      </c>
      <c r="F849" t="inlineStr">
        <is>
          <t>Khojiakbar Alijonov - Uzbekistan</t>
        </is>
      </c>
      <c r="G849" t="inlineStr">
        <is>
          <t>Base</t>
        </is>
      </c>
      <c r="I849" t="n">
        <v>0</v>
      </c>
    </row>
    <row r="850" ht="20" customHeight="1">
      <c r="A850" t="inlineStr">
        <is>
          <t>Grupo K</t>
        </is>
      </c>
      <c r="B850" t="inlineStr">
        <is>
          <t>UZB</t>
        </is>
      </c>
      <c r="C850" t="inlineStr">
        <is>
          <t>Uzbekistan</t>
        </is>
      </c>
      <c r="D850" t="n">
        <v>9</v>
      </c>
      <c r="E850" t="inlineStr">
        <is>
          <t>UZB9</t>
        </is>
      </c>
      <c r="F850" t="inlineStr">
        <is>
          <t>Abdukodir Khusanov - Uzbekistan</t>
        </is>
      </c>
      <c r="G850" t="inlineStr">
        <is>
          <t>Base</t>
        </is>
      </c>
      <c r="I850" t="n">
        <v>0</v>
      </c>
    </row>
    <row r="851" ht="20" customHeight="1">
      <c r="A851" t="inlineStr">
        <is>
          <t>Grupo K</t>
        </is>
      </c>
      <c r="B851" t="inlineStr">
        <is>
          <t>UZB</t>
        </is>
      </c>
      <c r="C851" t="inlineStr">
        <is>
          <t>Uzbekistan</t>
        </is>
      </c>
      <c r="D851" t="n">
        <v>10</v>
      </c>
      <c r="E851" t="inlineStr">
        <is>
          <t>UZB10</t>
        </is>
      </c>
      <c r="F851" t="inlineStr">
        <is>
          <t>Odiljon Hamrobekov - Uzbekistan</t>
        </is>
      </c>
      <c r="G851" t="inlineStr">
        <is>
          <t>Base</t>
        </is>
      </c>
      <c r="I851" t="n">
        <v>0</v>
      </c>
    </row>
    <row r="852" ht="20" customHeight="1">
      <c r="A852" t="inlineStr">
        <is>
          <t>Grupo K</t>
        </is>
      </c>
      <c r="B852" t="inlineStr">
        <is>
          <t>UZB</t>
        </is>
      </c>
      <c r="C852" t="inlineStr">
        <is>
          <t>Uzbekistan</t>
        </is>
      </c>
      <c r="D852" t="n">
        <v>11</v>
      </c>
      <c r="E852" t="inlineStr">
        <is>
          <t>UZB11</t>
        </is>
      </c>
      <c r="F852" t="inlineStr">
        <is>
          <t>Otabek Shukurov - Uzbekistan</t>
        </is>
      </c>
      <c r="G852" t="inlineStr">
        <is>
          <t>Base</t>
        </is>
      </c>
      <c r="I852" t="n">
        <v>0</v>
      </c>
    </row>
    <row r="853" ht="20" customHeight="1">
      <c r="A853" t="inlineStr">
        <is>
          <t>Grupo K</t>
        </is>
      </c>
      <c r="B853" t="inlineStr">
        <is>
          <t>UZB</t>
        </is>
      </c>
      <c r="C853" t="inlineStr">
        <is>
          <t>Uzbekistan</t>
        </is>
      </c>
      <c r="D853" t="n">
        <v>12</v>
      </c>
      <c r="E853" t="inlineStr">
        <is>
          <t>UZB12</t>
        </is>
      </c>
      <c r="F853" t="inlineStr">
        <is>
          <t>Jamshid Iskanderov - Uzbekistan</t>
        </is>
      </c>
      <c r="G853" t="inlineStr">
        <is>
          <t>Base</t>
        </is>
      </c>
      <c r="I853" t="n">
        <v>0</v>
      </c>
    </row>
    <row r="854" ht="20" customHeight="1">
      <c r="A854" t="inlineStr">
        <is>
          <t>Grupo K</t>
        </is>
      </c>
      <c r="B854" t="inlineStr">
        <is>
          <t>UZB</t>
        </is>
      </c>
      <c r="C854" t="inlineStr">
        <is>
          <t>Uzbekistan</t>
        </is>
      </c>
      <c r="D854" t="n">
        <v>13</v>
      </c>
      <c r="E854" t="inlineStr">
        <is>
          <t>UZB13</t>
        </is>
      </c>
      <c r="F854" t="inlineStr">
        <is>
          <t>Team Photo - Uzbekistan</t>
        </is>
      </c>
      <c r="G854" t="inlineStr">
        <is>
          <t>Base</t>
        </is>
      </c>
      <c r="I854" t="n">
        <v>0</v>
      </c>
    </row>
    <row r="855" ht="20" customHeight="1">
      <c r="A855" t="inlineStr">
        <is>
          <t>Grupo K</t>
        </is>
      </c>
      <c r="B855" t="inlineStr">
        <is>
          <t>UZB</t>
        </is>
      </c>
      <c r="C855" t="inlineStr">
        <is>
          <t>Uzbekistan</t>
        </is>
      </c>
      <c r="D855" t="n">
        <v>14</v>
      </c>
      <c r="E855" t="inlineStr">
        <is>
          <t>UZB14</t>
        </is>
      </c>
      <c r="F855" t="inlineStr">
        <is>
          <t>Azizbek Turgunboev - Uzbekistan</t>
        </is>
      </c>
      <c r="G855" t="inlineStr">
        <is>
          <t>Base</t>
        </is>
      </c>
      <c r="I855" t="n">
        <v>0</v>
      </c>
    </row>
    <row r="856" ht="20" customHeight="1">
      <c r="A856" t="inlineStr">
        <is>
          <t>Grupo K</t>
        </is>
      </c>
      <c r="B856" t="inlineStr">
        <is>
          <t>UZB</t>
        </is>
      </c>
      <c r="C856" t="inlineStr">
        <is>
          <t>Uzbekistan</t>
        </is>
      </c>
      <c r="D856" t="n">
        <v>15</v>
      </c>
      <c r="E856" t="inlineStr">
        <is>
          <t>UZB15</t>
        </is>
      </c>
      <c r="F856" t="inlineStr">
        <is>
          <t>Khojimat Erkinov - Uzbekistan</t>
        </is>
      </c>
      <c r="G856" t="inlineStr">
        <is>
          <t>Base</t>
        </is>
      </c>
      <c r="I856" t="n">
        <v>0</v>
      </c>
    </row>
    <row r="857" ht="20" customHeight="1">
      <c r="A857" t="inlineStr">
        <is>
          <t>Grupo K</t>
        </is>
      </c>
      <c r="B857" t="inlineStr">
        <is>
          <t>UZB</t>
        </is>
      </c>
      <c r="C857" t="inlineStr">
        <is>
          <t>Uzbekistan</t>
        </is>
      </c>
      <c r="D857" t="n">
        <v>16</v>
      </c>
      <c r="E857" t="inlineStr">
        <is>
          <t>UZB16</t>
        </is>
      </c>
      <c r="F857" t="inlineStr">
        <is>
          <t>Eldor Shomurodov - Uzbekistan</t>
        </is>
      </c>
      <c r="G857" t="inlineStr">
        <is>
          <t>Base</t>
        </is>
      </c>
      <c r="I857" t="n">
        <v>0</v>
      </c>
    </row>
    <row r="858" ht="20" customHeight="1">
      <c r="A858" t="inlineStr">
        <is>
          <t>Grupo K</t>
        </is>
      </c>
      <c r="B858" t="inlineStr">
        <is>
          <t>UZB</t>
        </is>
      </c>
      <c r="C858" t="inlineStr">
        <is>
          <t>Uzbekistan</t>
        </is>
      </c>
      <c r="D858" t="n">
        <v>17</v>
      </c>
      <c r="E858" t="inlineStr">
        <is>
          <t>UZB17</t>
        </is>
      </c>
      <c r="F858" t="inlineStr">
        <is>
          <t>Oston Urunov - Uzbekistan</t>
        </is>
      </c>
      <c r="G858" t="inlineStr">
        <is>
          <t>Base</t>
        </is>
      </c>
      <c r="I858" t="n">
        <v>0</v>
      </c>
    </row>
    <row r="859" ht="20" customHeight="1">
      <c r="A859" t="inlineStr">
        <is>
          <t>Grupo K</t>
        </is>
      </c>
      <c r="B859" t="inlineStr">
        <is>
          <t>UZB</t>
        </is>
      </c>
      <c r="C859" t="inlineStr">
        <is>
          <t>Uzbekistan</t>
        </is>
      </c>
      <c r="D859" t="n">
        <v>18</v>
      </c>
      <c r="E859" t="inlineStr">
        <is>
          <t>UZB18</t>
        </is>
      </c>
      <c r="F859" t="inlineStr">
        <is>
          <t>Jaloliddin Masharipov - Uzbekistan</t>
        </is>
      </c>
      <c r="G859" t="inlineStr">
        <is>
          <t>Base</t>
        </is>
      </c>
      <c r="I859" t="n">
        <v>0</v>
      </c>
    </row>
    <row r="860" ht="20" customHeight="1">
      <c r="A860" t="inlineStr">
        <is>
          <t>Grupo K</t>
        </is>
      </c>
      <c r="B860" t="inlineStr">
        <is>
          <t>UZB</t>
        </is>
      </c>
      <c r="C860" t="inlineStr">
        <is>
          <t>Uzbekistan</t>
        </is>
      </c>
      <c r="D860" t="n">
        <v>19</v>
      </c>
      <c r="E860" t="inlineStr">
        <is>
          <t>UZB19</t>
        </is>
      </c>
      <c r="F860" t="inlineStr">
        <is>
          <t>Igor Sergeev - Uzbekistan</t>
        </is>
      </c>
      <c r="G860" t="inlineStr">
        <is>
          <t>Base</t>
        </is>
      </c>
      <c r="I860" t="n">
        <v>0</v>
      </c>
    </row>
    <row r="861" ht="20" customHeight="1">
      <c r="A861" t="inlineStr">
        <is>
          <t>Grupo K</t>
        </is>
      </c>
      <c r="B861" t="inlineStr">
        <is>
          <t>UZB</t>
        </is>
      </c>
      <c r="C861" t="inlineStr">
        <is>
          <t>Uzbekistan</t>
        </is>
      </c>
      <c r="D861" t="n">
        <v>20</v>
      </c>
      <c r="E861" t="inlineStr">
        <is>
          <t>UZB20</t>
        </is>
      </c>
      <c r="F861" t="inlineStr">
        <is>
          <t>Abbosbek Fayzullaev - Uzbekistan</t>
        </is>
      </c>
      <c r="G861" t="inlineStr">
        <is>
          <t>Base</t>
        </is>
      </c>
      <c r="I861" t="n">
        <v>0</v>
      </c>
    </row>
    <row r="862" ht="20" customHeight="1">
      <c r="A862" t="inlineStr">
        <is>
          <t>Grupo K</t>
        </is>
      </c>
      <c r="B862" t="inlineStr">
        <is>
          <t>COL</t>
        </is>
      </c>
      <c r="C862" t="inlineStr">
        <is>
          <t>Colombia</t>
        </is>
      </c>
      <c r="D862" t="n">
        <v>1</v>
      </c>
      <c r="E862" t="inlineStr">
        <is>
          <t>COL1</t>
        </is>
      </c>
      <c r="F862" t="inlineStr">
        <is>
          <t>Team Logo - Colombia FOIL</t>
        </is>
      </c>
      <c r="G862" t="inlineStr">
        <is>
          <t>FOIL</t>
        </is>
      </c>
      <c r="I862" t="n">
        <v>0</v>
      </c>
    </row>
    <row r="863" ht="20" customHeight="1">
      <c r="A863" t="inlineStr">
        <is>
          <t>Grupo K</t>
        </is>
      </c>
      <c r="B863" t="inlineStr">
        <is>
          <t>COL</t>
        </is>
      </c>
      <c r="C863" t="inlineStr">
        <is>
          <t>Colombia</t>
        </is>
      </c>
      <c r="D863" t="n">
        <v>2</v>
      </c>
      <c r="E863" t="inlineStr">
        <is>
          <t>COL2</t>
        </is>
      </c>
      <c r="F863" t="inlineStr">
        <is>
          <t>Camilo Vargas - Colombia</t>
        </is>
      </c>
      <c r="G863" t="inlineStr">
        <is>
          <t>Base</t>
        </is>
      </c>
      <c r="I863" t="n">
        <v>0</v>
      </c>
    </row>
    <row r="864" ht="20" customHeight="1">
      <c r="A864" t="inlineStr">
        <is>
          <t>Grupo K</t>
        </is>
      </c>
      <c r="B864" t="inlineStr">
        <is>
          <t>COL</t>
        </is>
      </c>
      <c r="C864" t="inlineStr">
        <is>
          <t>Colombia</t>
        </is>
      </c>
      <c r="D864" t="n">
        <v>3</v>
      </c>
      <c r="E864" t="inlineStr">
        <is>
          <t>COL3</t>
        </is>
      </c>
      <c r="F864" t="inlineStr">
        <is>
          <t>David Ospina - Colombia</t>
        </is>
      </c>
      <c r="G864" t="inlineStr">
        <is>
          <t>Base</t>
        </is>
      </c>
      <c r="I864" t="n">
        <v>0</v>
      </c>
    </row>
    <row r="865" ht="20" customHeight="1">
      <c r="A865" t="inlineStr">
        <is>
          <t>Grupo K</t>
        </is>
      </c>
      <c r="B865" t="inlineStr">
        <is>
          <t>COL</t>
        </is>
      </c>
      <c r="C865" t="inlineStr">
        <is>
          <t>Colombia</t>
        </is>
      </c>
      <c r="D865" t="n">
        <v>4</v>
      </c>
      <c r="E865" t="inlineStr">
        <is>
          <t>COL4</t>
        </is>
      </c>
      <c r="F865" t="inlineStr">
        <is>
          <t>Dávinson Sánchez - Colombia</t>
        </is>
      </c>
      <c r="G865" t="inlineStr">
        <is>
          <t>Base</t>
        </is>
      </c>
      <c r="I865" t="n">
        <v>0</v>
      </c>
    </row>
    <row r="866" ht="20" customHeight="1">
      <c r="A866" t="inlineStr">
        <is>
          <t>Grupo K</t>
        </is>
      </c>
      <c r="B866" t="inlineStr">
        <is>
          <t>COL</t>
        </is>
      </c>
      <c r="C866" t="inlineStr">
        <is>
          <t>Colombia</t>
        </is>
      </c>
      <c r="D866" t="n">
        <v>5</v>
      </c>
      <c r="E866" t="inlineStr">
        <is>
          <t>COL5</t>
        </is>
      </c>
      <c r="F866" t="inlineStr">
        <is>
          <t>Yerry Mina - Colombia</t>
        </is>
      </c>
      <c r="G866" t="inlineStr">
        <is>
          <t>Base</t>
        </is>
      </c>
      <c r="I866" t="n">
        <v>0</v>
      </c>
    </row>
    <row r="867" ht="20" customHeight="1">
      <c r="A867" t="inlineStr">
        <is>
          <t>Grupo K</t>
        </is>
      </c>
      <c r="B867" t="inlineStr">
        <is>
          <t>COL</t>
        </is>
      </c>
      <c r="C867" t="inlineStr">
        <is>
          <t>Colombia</t>
        </is>
      </c>
      <c r="D867" t="n">
        <v>6</v>
      </c>
      <c r="E867" t="inlineStr">
        <is>
          <t>COL6</t>
        </is>
      </c>
      <c r="F867" t="inlineStr">
        <is>
          <t>Daniel Munoz - Colombia</t>
        </is>
      </c>
      <c r="G867" t="inlineStr">
        <is>
          <t>Base</t>
        </is>
      </c>
      <c r="I867" t="n">
        <v>0</v>
      </c>
    </row>
    <row r="868" ht="20" customHeight="1">
      <c r="A868" t="inlineStr">
        <is>
          <t>Grupo K</t>
        </is>
      </c>
      <c r="B868" t="inlineStr">
        <is>
          <t>COL</t>
        </is>
      </c>
      <c r="C868" t="inlineStr">
        <is>
          <t>Colombia</t>
        </is>
      </c>
      <c r="D868" t="n">
        <v>7</v>
      </c>
      <c r="E868" t="inlineStr">
        <is>
          <t>COL7</t>
        </is>
      </c>
      <c r="F868" t="inlineStr">
        <is>
          <t>Johan Mojica - Colombia</t>
        </is>
      </c>
      <c r="G868" t="inlineStr">
        <is>
          <t>Base</t>
        </is>
      </c>
      <c r="I868" t="n">
        <v>0</v>
      </c>
    </row>
    <row r="869" ht="20" customHeight="1">
      <c r="A869" t="inlineStr">
        <is>
          <t>Grupo K</t>
        </is>
      </c>
      <c r="B869" t="inlineStr">
        <is>
          <t>COL</t>
        </is>
      </c>
      <c r="C869" t="inlineStr">
        <is>
          <t>Colombia</t>
        </is>
      </c>
      <c r="D869" t="n">
        <v>8</v>
      </c>
      <c r="E869" t="inlineStr">
        <is>
          <t>COL8</t>
        </is>
      </c>
      <c r="F869" t="inlineStr">
        <is>
          <t>Jhon Lucumí - Colombia</t>
        </is>
      </c>
      <c r="G869" t="inlineStr">
        <is>
          <t>Base</t>
        </is>
      </c>
      <c r="I869" t="n">
        <v>0</v>
      </c>
    </row>
    <row r="870" ht="20" customHeight="1">
      <c r="A870" t="inlineStr">
        <is>
          <t>Grupo K</t>
        </is>
      </c>
      <c r="B870" t="inlineStr">
        <is>
          <t>COL</t>
        </is>
      </c>
      <c r="C870" t="inlineStr">
        <is>
          <t>Colombia</t>
        </is>
      </c>
      <c r="D870" t="n">
        <v>9</v>
      </c>
      <c r="E870" t="inlineStr">
        <is>
          <t>COL9</t>
        </is>
      </c>
      <c r="F870" t="inlineStr">
        <is>
          <t>Santiago Arias - Colombia</t>
        </is>
      </c>
      <c r="G870" t="inlineStr">
        <is>
          <t>Base</t>
        </is>
      </c>
      <c r="I870" t="n">
        <v>0</v>
      </c>
    </row>
    <row r="871" ht="20" customHeight="1">
      <c r="A871" t="inlineStr">
        <is>
          <t>Grupo K</t>
        </is>
      </c>
      <c r="B871" t="inlineStr">
        <is>
          <t>COL</t>
        </is>
      </c>
      <c r="C871" t="inlineStr">
        <is>
          <t>Colombia</t>
        </is>
      </c>
      <c r="D871" t="n">
        <v>10</v>
      </c>
      <c r="E871" t="inlineStr">
        <is>
          <t>COL10</t>
        </is>
      </c>
      <c r="F871" t="inlineStr">
        <is>
          <t>Jefferson Lerma - Colombia</t>
        </is>
      </c>
      <c r="G871" t="inlineStr">
        <is>
          <t>Base</t>
        </is>
      </c>
      <c r="I871" t="n">
        <v>0</v>
      </c>
    </row>
    <row r="872" ht="20" customHeight="1">
      <c r="A872" t="inlineStr">
        <is>
          <t>Grupo K</t>
        </is>
      </c>
      <c r="B872" t="inlineStr">
        <is>
          <t>COL</t>
        </is>
      </c>
      <c r="C872" t="inlineStr">
        <is>
          <t>Colombia</t>
        </is>
      </c>
      <c r="D872" t="n">
        <v>11</v>
      </c>
      <c r="E872" t="inlineStr">
        <is>
          <t>COL11</t>
        </is>
      </c>
      <c r="F872" t="inlineStr">
        <is>
          <t>Kevin Castaño - Colombia</t>
        </is>
      </c>
      <c r="G872" t="inlineStr">
        <is>
          <t>Base</t>
        </is>
      </c>
      <c r="I872" t="n">
        <v>0</v>
      </c>
    </row>
    <row r="873" ht="20" customHeight="1">
      <c r="A873" t="inlineStr">
        <is>
          <t>Grupo K</t>
        </is>
      </c>
      <c r="B873" t="inlineStr">
        <is>
          <t>COL</t>
        </is>
      </c>
      <c r="C873" t="inlineStr">
        <is>
          <t>Colombia</t>
        </is>
      </c>
      <c r="D873" t="n">
        <v>12</v>
      </c>
      <c r="E873" t="inlineStr">
        <is>
          <t>COL12</t>
        </is>
      </c>
      <c r="F873" t="inlineStr">
        <is>
          <t>Richard Rios - Colombia</t>
        </is>
      </c>
      <c r="G873" t="inlineStr">
        <is>
          <t>Base</t>
        </is>
      </c>
      <c r="I873" t="n">
        <v>0</v>
      </c>
    </row>
    <row r="874" ht="20" customHeight="1">
      <c r="A874" t="inlineStr">
        <is>
          <t>Grupo K</t>
        </is>
      </c>
      <c r="B874" t="inlineStr">
        <is>
          <t>COL</t>
        </is>
      </c>
      <c r="C874" t="inlineStr">
        <is>
          <t>Colombia</t>
        </is>
      </c>
      <c r="D874" t="n">
        <v>13</v>
      </c>
      <c r="E874" t="inlineStr">
        <is>
          <t>COL13</t>
        </is>
      </c>
      <c r="F874" t="inlineStr">
        <is>
          <t>Team Photo - Colombia</t>
        </is>
      </c>
      <c r="G874" t="inlineStr">
        <is>
          <t>Base</t>
        </is>
      </c>
      <c r="I874" t="n">
        <v>0</v>
      </c>
    </row>
    <row r="875" ht="20" customHeight="1">
      <c r="A875" t="inlineStr">
        <is>
          <t>Grupo K</t>
        </is>
      </c>
      <c r="B875" t="inlineStr">
        <is>
          <t>COL</t>
        </is>
      </c>
      <c r="C875" t="inlineStr">
        <is>
          <t>Colombia</t>
        </is>
      </c>
      <c r="D875" t="n">
        <v>14</v>
      </c>
      <c r="E875" t="inlineStr">
        <is>
          <t>COL14</t>
        </is>
      </c>
      <c r="F875" t="inlineStr">
        <is>
          <t>James Rodriguez - Colombia</t>
        </is>
      </c>
      <c r="G875" t="inlineStr">
        <is>
          <t>Base</t>
        </is>
      </c>
      <c r="I875" t="n">
        <v>0</v>
      </c>
    </row>
    <row r="876" ht="20" customHeight="1">
      <c r="A876" t="inlineStr">
        <is>
          <t>Grupo K</t>
        </is>
      </c>
      <c r="B876" t="inlineStr">
        <is>
          <t>COL</t>
        </is>
      </c>
      <c r="C876" t="inlineStr">
        <is>
          <t>Colombia</t>
        </is>
      </c>
      <c r="D876" t="n">
        <v>15</v>
      </c>
      <c r="E876" t="inlineStr">
        <is>
          <t>COL15</t>
        </is>
      </c>
      <c r="F876" t="inlineStr">
        <is>
          <t>Juan Fernando Quintero - Colombia</t>
        </is>
      </c>
      <c r="G876" t="inlineStr">
        <is>
          <t>Base</t>
        </is>
      </c>
      <c r="I876" t="n">
        <v>0</v>
      </c>
    </row>
    <row r="877" ht="20" customHeight="1">
      <c r="A877" t="inlineStr">
        <is>
          <t>Grupo K</t>
        </is>
      </c>
      <c r="B877" t="inlineStr">
        <is>
          <t>COL</t>
        </is>
      </c>
      <c r="C877" t="inlineStr">
        <is>
          <t>Colombia</t>
        </is>
      </c>
      <c r="D877" t="n">
        <v>16</v>
      </c>
      <c r="E877" t="inlineStr">
        <is>
          <t>COL16</t>
        </is>
      </c>
      <c r="F877" t="inlineStr">
        <is>
          <t>Jorge Carrascal - Colombia</t>
        </is>
      </c>
      <c r="G877" t="inlineStr">
        <is>
          <t>Base</t>
        </is>
      </c>
      <c r="I877" t="n">
        <v>0</v>
      </c>
    </row>
    <row r="878" ht="20" customHeight="1">
      <c r="A878" t="inlineStr">
        <is>
          <t>Grupo K</t>
        </is>
      </c>
      <c r="B878" t="inlineStr">
        <is>
          <t>COL</t>
        </is>
      </c>
      <c r="C878" t="inlineStr">
        <is>
          <t>Colombia</t>
        </is>
      </c>
      <c r="D878" t="n">
        <v>17</v>
      </c>
      <c r="E878" t="inlineStr">
        <is>
          <t>COL17</t>
        </is>
      </c>
      <c r="F878" t="inlineStr">
        <is>
          <t>Jon Arias - Colombia</t>
        </is>
      </c>
      <c r="G878" t="inlineStr">
        <is>
          <t>Base</t>
        </is>
      </c>
      <c r="I878" t="n">
        <v>0</v>
      </c>
    </row>
    <row r="879" ht="20" customHeight="1">
      <c r="A879" t="inlineStr">
        <is>
          <t>Grupo K</t>
        </is>
      </c>
      <c r="B879" t="inlineStr">
        <is>
          <t>COL</t>
        </is>
      </c>
      <c r="C879" t="inlineStr">
        <is>
          <t>Colombia</t>
        </is>
      </c>
      <c r="D879" t="n">
        <v>18</v>
      </c>
      <c r="E879" t="inlineStr">
        <is>
          <t>COL18</t>
        </is>
      </c>
      <c r="F879" t="inlineStr">
        <is>
          <t>Jhon Cordova - Colombia</t>
        </is>
      </c>
      <c r="G879" t="inlineStr">
        <is>
          <t>Base</t>
        </is>
      </c>
      <c r="I879" t="n">
        <v>0</v>
      </c>
    </row>
    <row r="880" ht="20" customHeight="1">
      <c r="A880" t="inlineStr">
        <is>
          <t>Grupo K</t>
        </is>
      </c>
      <c r="B880" t="inlineStr">
        <is>
          <t>COL</t>
        </is>
      </c>
      <c r="C880" t="inlineStr">
        <is>
          <t>Colombia</t>
        </is>
      </c>
      <c r="D880" t="n">
        <v>19</v>
      </c>
      <c r="E880" t="inlineStr">
        <is>
          <t>COL19</t>
        </is>
      </c>
      <c r="F880" t="inlineStr">
        <is>
          <t>Luis Suarez - Colombia</t>
        </is>
      </c>
      <c r="G880" t="inlineStr">
        <is>
          <t>Base</t>
        </is>
      </c>
      <c r="I880" t="n">
        <v>0</v>
      </c>
    </row>
    <row r="881" ht="20" customHeight="1">
      <c r="A881" t="inlineStr">
        <is>
          <t>Grupo K</t>
        </is>
      </c>
      <c r="B881" t="inlineStr">
        <is>
          <t>COL</t>
        </is>
      </c>
      <c r="C881" t="inlineStr">
        <is>
          <t>Colombia</t>
        </is>
      </c>
      <c r="D881" t="n">
        <v>20</v>
      </c>
      <c r="E881" t="inlineStr">
        <is>
          <t>COL20</t>
        </is>
      </c>
      <c r="F881" t="inlineStr">
        <is>
          <t>Luis Diaz - Colombia</t>
        </is>
      </c>
      <c r="G881" t="inlineStr">
        <is>
          <t>Base</t>
        </is>
      </c>
      <c r="I881" t="n">
        <v>0</v>
      </c>
    </row>
    <row r="882" ht="20" customHeight="1">
      <c r="A882" t="inlineStr">
        <is>
          <t>Grupo L</t>
        </is>
      </c>
      <c r="B882" t="inlineStr">
        <is>
          <t>ENG</t>
        </is>
      </c>
      <c r="C882" t="inlineStr">
        <is>
          <t>England</t>
        </is>
      </c>
      <c r="D882" t="n">
        <v>1</v>
      </c>
      <c r="E882" t="inlineStr">
        <is>
          <t>ENG1</t>
        </is>
      </c>
      <c r="F882" t="inlineStr">
        <is>
          <t>Team Logo - England FOIL</t>
        </is>
      </c>
      <c r="G882" t="inlineStr">
        <is>
          <t>FOIL</t>
        </is>
      </c>
      <c r="I882" t="n">
        <v>0</v>
      </c>
    </row>
    <row r="883" ht="20" customHeight="1">
      <c r="A883" t="inlineStr">
        <is>
          <t>Grupo L</t>
        </is>
      </c>
      <c r="B883" t="inlineStr">
        <is>
          <t>ENG</t>
        </is>
      </c>
      <c r="C883" t="inlineStr">
        <is>
          <t>England</t>
        </is>
      </c>
      <c r="D883" t="n">
        <v>2</v>
      </c>
      <c r="E883" t="inlineStr">
        <is>
          <t>ENG2</t>
        </is>
      </c>
      <c r="F883" t="inlineStr">
        <is>
          <t>Jordan Pickford - England</t>
        </is>
      </c>
      <c r="G883" t="inlineStr">
        <is>
          <t>Base</t>
        </is>
      </c>
      <c r="I883" t="n">
        <v>0</v>
      </c>
    </row>
    <row r="884" ht="20" customHeight="1">
      <c r="A884" t="inlineStr">
        <is>
          <t>Grupo L</t>
        </is>
      </c>
      <c r="B884" t="inlineStr">
        <is>
          <t>ENG</t>
        </is>
      </c>
      <c r="C884" t="inlineStr">
        <is>
          <t>England</t>
        </is>
      </c>
      <c r="D884" t="n">
        <v>3</v>
      </c>
      <c r="E884" t="inlineStr">
        <is>
          <t>ENG3</t>
        </is>
      </c>
      <c r="F884" t="inlineStr">
        <is>
          <t>John Stones - England</t>
        </is>
      </c>
      <c r="G884" t="inlineStr">
        <is>
          <t>Base</t>
        </is>
      </c>
      <c r="I884" t="n">
        <v>0</v>
      </c>
    </row>
    <row r="885" ht="20" customHeight="1">
      <c r="A885" t="inlineStr">
        <is>
          <t>Grupo L</t>
        </is>
      </c>
      <c r="B885" t="inlineStr">
        <is>
          <t>ENG</t>
        </is>
      </c>
      <c r="C885" t="inlineStr">
        <is>
          <t>England</t>
        </is>
      </c>
      <c r="D885" t="n">
        <v>4</v>
      </c>
      <c r="E885" t="inlineStr">
        <is>
          <t>ENG4</t>
        </is>
      </c>
      <c r="F885" t="inlineStr">
        <is>
          <t>Marc Guéhi - England</t>
        </is>
      </c>
      <c r="G885" t="inlineStr">
        <is>
          <t>Base</t>
        </is>
      </c>
      <c r="I885" t="n">
        <v>0</v>
      </c>
    </row>
    <row r="886" ht="20" customHeight="1">
      <c r="A886" t="inlineStr">
        <is>
          <t>Grupo L</t>
        </is>
      </c>
      <c r="B886" t="inlineStr">
        <is>
          <t>ENG</t>
        </is>
      </c>
      <c r="C886" t="inlineStr">
        <is>
          <t>England</t>
        </is>
      </c>
      <c r="D886" t="n">
        <v>5</v>
      </c>
      <c r="E886" t="inlineStr">
        <is>
          <t>ENG5</t>
        </is>
      </c>
      <c r="F886" t="inlineStr">
        <is>
          <t>Ezri Konsa - England</t>
        </is>
      </c>
      <c r="G886" t="inlineStr">
        <is>
          <t>Base</t>
        </is>
      </c>
      <c r="I886" t="n">
        <v>0</v>
      </c>
    </row>
    <row r="887" ht="20" customHeight="1">
      <c r="A887" t="inlineStr">
        <is>
          <t>Grupo L</t>
        </is>
      </c>
      <c r="B887" t="inlineStr">
        <is>
          <t>ENG</t>
        </is>
      </c>
      <c r="C887" t="inlineStr">
        <is>
          <t>England</t>
        </is>
      </c>
      <c r="D887" t="n">
        <v>6</v>
      </c>
      <c r="E887" t="inlineStr">
        <is>
          <t>ENG6</t>
        </is>
      </c>
      <c r="F887" t="inlineStr">
        <is>
          <t>Trent Alexander-Arnold - England</t>
        </is>
      </c>
      <c r="G887" t="inlineStr">
        <is>
          <t>Base</t>
        </is>
      </c>
      <c r="I887" t="n">
        <v>0</v>
      </c>
    </row>
    <row r="888" ht="20" customHeight="1">
      <c r="A888" t="inlineStr">
        <is>
          <t>Grupo L</t>
        </is>
      </c>
      <c r="B888" t="inlineStr">
        <is>
          <t>ENG</t>
        </is>
      </c>
      <c r="C888" t="inlineStr">
        <is>
          <t>England</t>
        </is>
      </c>
      <c r="D888" t="n">
        <v>7</v>
      </c>
      <c r="E888" t="inlineStr">
        <is>
          <t>ENG7</t>
        </is>
      </c>
      <c r="F888" t="inlineStr">
        <is>
          <t>Reece James - England</t>
        </is>
      </c>
      <c r="G888" t="inlineStr">
        <is>
          <t>Base</t>
        </is>
      </c>
      <c r="I888" t="n">
        <v>0</v>
      </c>
    </row>
    <row r="889" ht="20" customHeight="1">
      <c r="A889" t="inlineStr">
        <is>
          <t>Grupo L</t>
        </is>
      </c>
      <c r="B889" t="inlineStr">
        <is>
          <t>ENG</t>
        </is>
      </c>
      <c r="C889" t="inlineStr">
        <is>
          <t>England</t>
        </is>
      </c>
      <c r="D889" t="n">
        <v>8</v>
      </c>
      <c r="E889" t="inlineStr">
        <is>
          <t>ENG8</t>
        </is>
      </c>
      <c r="F889" t="inlineStr">
        <is>
          <t>Dan Burn - England</t>
        </is>
      </c>
      <c r="G889" t="inlineStr">
        <is>
          <t>Base</t>
        </is>
      </c>
      <c r="I889" t="n">
        <v>0</v>
      </c>
    </row>
    <row r="890" ht="20" customHeight="1">
      <c r="A890" t="inlineStr">
        <is>
          <t>Grupo L</t>
        </is>
      </c>
      <c r="B890" t="inlineStr">
        <is>
          <t>ENG</t>
        </is>
      </c>
      <c r="C890" t="inlineStr">
        <is>
          <t>England</t>
        </is>
      </c>
      <c r="D890" t="n">
        <v>9</v>
      </c>
      <c r="E890" t="inlineStr">
        <is>
          <t>ENG9</t>
        </is>
      </c>
      <c r="F890" t="inlineStr">
        <is>
          <t>Jordan Henderson - England</t>
        </is>
      </c>
      <c r="G890" t="inlineStr">
        <is>
          <t>Base</t>
        </is>
      </c>
      <c r="I890" t="n">
        <v>0</v>
      </c>
    </row>
    <row r="891" ht="20" customHeight="1">
      <c r="A891" t="inlineStr">
        <is>
          <t>Grupo L</t>
        </is>
      </c>
      <c r="B891" t="inlineStr">
        <is>
          <t>ENG</t>
        </is>
      </c>
      <c r="C891" t="inlineStr">
        <is>
          <t>England</t>
        </is>
      </c>
      <c r="D891" t="n">
        <v>10</v>
      </c>
      <c r="E891" t="inlineStr">
        <is>
          <t>ENG10</t>
        </is>
      </c>
      <c r="F891" t="inlineStr">
        <is>
          <t>Declan Rice - England</t>
        </is>
      </c>
      <c r="G891" t="inlineStr">
        <is>
          <t>Base</t>
        </is>
      </c>
      <c r="I891" t="n">
        <v>0</v>
      </c>
    </row>
    <row r="892" ht="20" customHeight="1">
      <c r="A892" t="inlineStr">
        <is>
          <t>Grupo L</t>
        </is>
      </c>
      <c r="B892" t="inlineStr">
        <is>
          <t>ENG</t>
        </is>
      </c>
      <c r="C892" t="inlineStr">
        <is>
          <t>England</t>
        </is>
      </c>
      <c r="D892" t="n">
        <v>11</v>
      </c>
      <c r="E892" t="inlineStr">
        <is>
          <t>ENG11</t>
        </is>
      </c>
      <c r="F892" t="inlineStr">
        <is>
          <t>Jude Bellingham - England</t>
        </is>
      </c>
      <c r="G892" t="inlineStr">
        <is>
          <t>Base</t>
        </is>
      </c>
      <c r="I892" t="n">
        <v>0</v>
      </c>
    </row>
    <row r="893" ht="20" customHeight="1">
      <c r="A893" t="inlineStr">
        <is>
          <t>Grupo L</t>
        </is>
      </c>
      <c r="B893" t="inlineStr">
        <is>
          <t>ENG</t>
        </is>
      </c>
      <c r="C893" t="inlineStr">
        <is>
          <t>England</t>
        </is>
      </c>
      <c r="D893" t="n">
        <v>12</v>
      </c>
      <c r="E893" t="inlineStr">
        <is>
          <t>ENG12</t>
        </is>
      </c>
      <c r="F893" t="inlineStr">
        <is>
          <t>Cole Palmer - England</t>
        </is>
      </c>
      <c r="G893" t="inlineStr">
        <is>
          <t>Base</t>
        </is>
      </c>
      <c r="I893" t="n">
        <v>0</v>
      </c>
    </row>
    <row r="894" ht="20" customHeight="1">
      <c r="A894" t="inlineStr">
        <is>
          <t>Grupo L</t>
        </is>
      </c>
      <c r="B894" t="inlineStr">
        <is>
          <t>ENG</t>
        </is>
      </c>
      <c r="C894" t="inlineStr">
        <is>
          <t>England</t>
        </is>
      </c>
      <c r="D894" t="n">
        <v>13</v>
      </c>
      <c r="E894" t="inlineStr">
        <is>
          <t>ENG13</t>
        </is>
      </c>
      <c r="F894" t="inlineStr">
        <is>
          <t>Team Photo - England</t>
        </is>
      </c>
      <c r="G894" t="inlineStr">
        <is>
          <t>Base</t>
        </is>
      </c>
      <c r="I894" t="n">
        <v>0</v>
      </c>
    </row>
    <row r="895" ht="20" customHeight="1">
      <c r="A895" t="inlineStr">
        <is>
          <t>Grupo L</t>
        </is>
      </c>
      <c r="B895" t="inlineStr">
        <is>
          <t>ENG</t>
        </is>
      </c>
      <c r="C895" t="inlineStr">
        <is>
          <t>England</t>
        </is>
      </c>
      <c r="D895" t="n">
        <v>14</v>
      </c>
      <c r="E895" t="inlineStr">
        <is>
          <t>ENG14</t>
        </is>
      </c>
      <c r="F895" t="inlineStr">
        <is>
          <t>Morgan Rogers - England</t>
        </is>
      </c>
      <c r="G895" t="inlineStr">
        <is>
          <t>Base</t>
        </is>
      </c>
      <c r="I895" t="n">
        <v>0</v>
      </c>
    </row>
    <row r="896" ht="20" customHeight="1">
      <c r="A896" t="inlineStr">
        <is>
          <t>Grupo L</t>
        </is>
      </c>
      <c r="B896" t="inlineStr">
        <is>
          <t>ENG</t>
        </is>
      </c>
      <c r="C896" t="inlineStr">
        <is>
          <t>England</t>
        </is>
      </c>
      <c r="D896" t="n">
        <v>15</v>
      </c>
      <c r="E896" t="inlineStr">
        <is>
          <t>ENG15</t>
        </is>
      </c>
      <c r="F896" t="inlineStr">
        <is>
          <t>Anthony Gordon - England</t>
        </is>
      </c>
      <c r="G896" t="inlineStr">
        <is>
          <t>Base</t>
        </is>
      </c>
      <c r="I896" t="n">
        <v>0</v>
      </c>
    </row>
    <row r="897" ht="20" customHeight="1">
      <c r="A897" t="inlineStr">
        <is>
          <t>Grupo L</t>
        </is>
      </c>
      <c r="B897" t="inlineStr">
        <is>
          <t>ENG</t>
        </is>
      </c>
      <c r="C897" t="inlineStr">
        <is>
          <t>England</t>
        </is>
      </c>
      <c r="D897" t="n">
        <v>16</v>
      </c>
      <c r="E897" t="inlineStr">
        <is>
          <t>ENG16</t>
        </is>
      </c>
      <c r="F897" t="inlineStr">
        <is>
          <t>Phil Foden - England</t>
        </is>
      </c>
      <c r="G897" t="inlineStr">
        <is>
          <t>Base</t>
        </is>
      </c>
      <c r="I897" t="n">
        <v>0</v>
      </c>
    </row>
    <row r="898" ht="20" customHeight="1">
      <c r="A898" t="inlineStr">
        <is>
          <t>Grupo L</t>
        </is>
      </c>
      <c r="B898" t="inlineStr">
        <is>
          <t>ENG</t>
        </is>
      </c>
      <c r="C898" t="inlineStr">
        <is>
          <t>England</t>
        </is>
      </c>
      <c r="D898" t="n">
        <v>17</v>
      </c>
      <c r="E898" t="inlineStr">
        <is>
          <t>ENG17</t>
        </is>
      </c>
      <c r="F898" t="inlineStr">
        <is>
          <t>Bukayo Saka - England</t>
        </is>
      </c>
      <c r="G898" t="inlineStr">
        <is>
          <t>Base</t>
        </is>
      </c>
      <c r="I898" t="n">
        <v>0</v>
      </c>
    </row>
    <row r="899" ht="20" customHeight="1">
      <c r="A899" t="inlineStr">
        <is>
          <t>Grupo L</t>
        </is>
      </c>
      <c r="B899" t="inlineStr">
        <is>
          <t>ENG</t>
        </is>
      </c>
      <c r="C899" t="inlineStr">
        <is>
          <t>England</t>
        </is>
      </c>
      <c r="D899" t="n">
        <v>18</v>
      </c>
      <c r="E899" t="inlineStr">
        <is>
          <t>ENG18</t>
        </is>
      </c>
      <c r="F899" t="inlineStr">
        <is>
          <t>Harry Kane - England</t>
        </is>
      </c>
      <c r="G899" t="inlineStr">
        <is>
          <t>Base</t>
        </is>
      </c>
      <c r="I899" t="n">
        <v>0</v>
      </c>
    </row>
    <row r="900" ht="20" customHeight="1">
      <c r="A900" t="inlineStr">
        <is>
          <t>Grupo L</t>
        </is>
      </c>
      <c r="B900" t="inlineStr">
        <is>
          <t>ENG</t>
        </is>
      </c>
      <c r="C900" t="inlineStr">
        <is>
          <t>England</t>
        </is>
      </c>
      <c r="D900" t="n">
        <v>19</v>
      </c>
      <c r="E900" t="inlineStr">
        <is>
          <t>ENG19</t>
        </is>
      </c>
      <c r="F900" t="inlineStr">
        <is>
          <t>Marcus Rashford - England</t>
        </is>
      </c>
      <c r="G900" t="inlineStr">
        <is>
          <t>Base</t>
        </is>
      </c>
      <c r="I900" t="n">
        <v>0</v>
      </c>
    </row>
    <row r="901" ht="20" customHeight="1">
      <c r="A901" t="inlineStr">
        <is>
          <t>Grupo L</t>
        </is>
      </c>
      <c r="B901" t="inlineStr">
        <is>
          <t>ENG</t>
        </is>
      </c>
      <c r="C901" t="inlineStr">
        <is>
          <t>England</t>
        </is>
      </c>
      <c r="D901" t="n">
        <v>20</v>
      </c>
      <c r="E901" t="inlineStr">
        <is>
          <t>ENG20</t>
        </is>
      </c>
      <c r="F901" t="inlineStr">
        <is>
          <t>Ollie Watkins - England</t>
        </is>
      </c>
      <c r="G901" t="inlineStr">
        <is>
          <t>Base</t>
        </is>
      </c>
      <c r="I901" t="n">
        <v>0</v>
      </c>
    </row>
    <row r="902" ht="20" customHeight="1">
      <c r="A902" t="inlineStr">
        <is>
          <t>Grupo L</t>
        </is>
      </c>
      <c r="B902" t="inlineStr">
        <is>
          <t>CRO</t>
        </is>
      </c>
      <c r="C902" t="inlineStr">
        <is>
          <t>Croatia</t>
        </is>
      </c>
      <c r="D902" t="n">
        <v>1</v>
      </c>
      <c r="E902" t="inlineStr">
        <is>
          <t>CRO1</t>
        </is>
      </c>
      <c r="F902" t="inlineStr">
        <is>
          <t>Team Logo - Croatia FOIL</t>
        </is>
      </c>
      <c r="G902" t="inlineStr">
        <is>
          <t>FOIL</t>
        </is>
      </c>
      <c r="I902" t="n">
        <v>0</v>
      </c>
    </row>
    <row r="903" ht="20" customHeight="1">
      <c r="A903" t="inlineStr">
        <is>
          <t>Grupo L</t>
        </is>
      </c>
      <c r="B903" t="inlineStr">
        <is>
          <t>CRO</t>
        </is>
      </c>
      <c r="C903" t="inlineStr">
        <is>
          <t>Croatia</t>
        </is>
      </c>
      <c r="D903" t="n">
        <v>2</v>
      </c>
      <c r="E903" t="inlineStr">
        <is>
          <t>CRO2</t>
        </is>
      </c>
      <c r="F903" t="inlineStr">
        <is>
          <t>Dominik Livaković - Croatia</t>
        </is>
      </c>
      <c r="G903" t="inlineStr">
        <is>
          <t>Base</t>
        </is>
      </c>
      <c r="I903" t="n">
        <v>0</v>
      </c>
    </row>
    <row r="904" ht="20" customHeight="1">
      <c r="A904" t="inlineStr">
        <is>
          <t>Grupo L</t>
        </is>
      </c>
      <c r="B904" t="inlineStr">
        <is>
          <t>CRO</t>
        </is>
      </c>
      <c r="C904" t="inlineStr">
        <is>
          <t>Croatia</t>
        </is>
      </c>
      <c r="D904" t="n">
        <v>3</v>
      </c>
      <c r="E904" t="inlineStr">
        <is>
          <t>CRO3</t>
        </is>
      </c>
      <c r="F904" t="inlineStr">
        <is>
          <t>Duje Caleta-Car - Croatia</t>
        </is>
      </c>
      <c r="G904" t="inlineStr">
        <is>
          <t>Base</t>
        </is>
      </c>
      <c r="I904" t="n">
        <v>0</v>
      </c>
    </row>
    <row r="905" ht="20" customHeight="1">
      <c r="A905" t="inlineStr">
        <is>
          <t>Grupo L</t>
        </is>
      </c>
      <c r="B905" t="inlineStr">
        <is>
          <t>CRO</t>
        </is>
      </c>
      <c r="C905" t="inlineStr">
        <is>
          <t>Croatia</t>
        </is>
      </c>
      <c r="D905" t="n">
        <v>4</v>
      </c>
      <c r="E905" t="inlineStr">
        <is>
          <t>CRO4</t>
        </is>
      </c>
      <c r="F905" t="inlineStr">
        <is>
          <t>Josko Gvardiol - Croatia</t>
        </is>
      </c>
      <c r="G905" t="inlineStr">
        <is>
          <t>Base</t>
        </is>
      </c>
      <c r="I905" t="n">
        <v>0</v>
      </c>
    </row>
    <row r="906" ht="20" customHeight="1">
      <c r="A906" t="inlineStr">
        <is>
          <t>Grupo L</t>
        </is>
      </c>
      <c r="B906" t="inlineStr">
        <is>
          <t>CRO</t>
        </is>
      </c>
      <c r="C906" t="inlineStr">
        <is>
          <t>Croatia</t>
        </is>
      </c>
      <c r="D906" t="n">
        <v>5</v>
      </c>
      <c r="E906" t="inlineStr">
        <is>
          <t>CRO5</t>
        </is>
      </c>
      <c r="F906" t="inlineStr">
        <is>
          <t>Josip Stanišić - Croatia</t>
        </is>
      </c>
      <c r="G906" t="inlineStr">
        <is>
          <t>Base</t>
        </is>
      </c>
      <c r="I906" t="n">
        <v>0</v>
      </c>
    </row>
    <row r="907" ht="20" customHeight="1">
      <c r="A907" t="inlineStr">
        <is>
          <t>Grupo L</t>
        </is>
      </c>
      <c r="B907" t="inlineStr">
        <is>
          <t>CRO</t>
        </is>
      </c>
      <c r="C907" t="inlineStr">
        <is>
          <t>Croatia</t>
        </is>
      </c>
      <c r="D907" t="n">
        <v>6</v>
      </c>
      <c r="E907" t="inlineStr">
        <is>
          <t>CRO6</t>
        </is>
      </c>
      <c r="F907" t="inlineStr">
        <is>
          <t>Luka Vušković - Croatia</t>
        </is>
      </c>
      <c r="G907" t="inlineStr">
        <is>
          <t>Base</t>
        </is>
      </c>
      <c r="I907" t="n">
        <v>0</v>
      </c>
    </row>
    <row r="908" ht="20" customHeight="1">
      <c r="A908" t="inlineStr">
        <is>
          <t>Grupo L</t>
        </is>
      </c>
      <c r="B908" t="inlineStr">
        <is>
          <t>CRO</t>
        </is>
      </c>
      <c r="C908" t="inlineStr">
        <is>
          <t>Croatia</t>
        </is>
      </c>
      <c r="D908" t="n">
        <v>7</v>
      </c>
      <c r="E908" t="inlineStr">
        <is>
          <t>CRO7</t>
        </is>
      </c>
      <c r="F908" t="inlineStr">
        <is>
          <t>Josip Sutalo - Croatia</t>
        </is>
      </c>
      <c r="G908" t="inlineStr">
        <is>
          <t>Base</t>
        </is>
      </c>
      <c r="I908" t="n">
        <v>0</v>
      </c>
    </row>
    <row r="909" ht="20" customHeight="1">
      <c r="A909" t="inlineStr">
        <is>
          <t>Grupo L</t>
        </is>
      </c>
      <c r="B909" t="inlineStr">
        <is>
          <t>CRO</t>
        </is>
      </c>
      <c r="C909" t="inlineStr">
        <is>
          <t>Croatia</t>
        </is>
      </c>
      <c r="D909" t="n">
        <v>8</v>
      </c>
      <c r="E909" t="inlineStr">
        <is>
          <t>CRO8</t>
        </is>
      </c>
      <c r="F909" t="inlineStr">
        <is>
          <t>Kristijan Jakic - Croatia</t>
        </is>
      </c>
      <c r="G909" t="inlineStr">
        <is>
          <t>Base</t>
        </is>
      </c>
      <c r="I909" t="n">
        <v>0</v>
      </c>
    </row>
    <row r="910" ht="20" customHeight="1">
      <c r="A910" t="inlineStr">
        <is>
          <t>Grupo L</t>
        </is>
      </c>
      <c r="B910" t="inlineStr">
        <is>
          <t>CRO</t>
        </is>
      </c>
      <c r="C910" t="inlineStr">
        <is>
          <t>Croatia</t>
        </is>
      </c>
      <c r="D910" t="n">
        <v>9</v>
      </c>
      <c r="E910" t="inlineStr">
        <is>
          <t>CRO9</t>
        </is>
      </c>
      <c r="F910" t="inlineStr">
        <is>
          <t>Luka Modrić - Croatia</t>
        </is>
      </c>
      <c r="G910" t="inlineStr">
        <is>
          <t>Base</t>
        </is>
      </c>
      <c r="I910" t="n">
        <v>0</v>
      </c>
    </row>
    <row r="911" ht="20" customHeight="1">
      <c r="A911" t="inlineStr">
        <is>
          <t>Grupo L</t>
        </is>
      </c>
      <c r="B911" t="inlineStr">
        <is>
          <t>CRO</t>
        </is>
      </c>
      <c r="C911" t="inlineStr">
        <is>
          <t>Croatia</t>
        </is>
      </c>
      <c r="D911" t="n">
        <v>10</v>
      </c>
      <c r="E911" t="inlineStr">
        <is>
          <t>CRO10</t>
        </is>
      </c>
      <c r="F911" t="inlineStr">
        <is>
          <t>Mateo Kovacic - Croatia</t>
        </is>
      </c>
      <c r="G911" t="inlineStr">
        <is>
          <t>Base</t>
        </is>
      </c>
      <c r="I911" t="n">
        <v>0</v>
      </c>
    </row>
    <row r="912" ht="20" customHeight="1">
      <c r="A912" t="inlineStr">
        <is>
          <t>Grupo L</t>
        </is>
      </c>
      <c r="B912" t="inlineStr">
        <is>
          <t>CRO</t>
        </is>
      </c>
      <c r="C912" t="inlineStr">
        <is>
          <t>Croatia</t>
        </is>
      </c>
      <c r="D912" t="n">
        <v>11</v>
      </c>
      <c r="E912" t="inlineStr">
        <is>
          <t>CRO11</t>
        </is>
      </c>
      <c r="F912" t="inlineStr">
        <is>
          <t>Martin Baturina - Croatia</t>
        </is>
      </c>
      <c r="G912" t="inlineStr">
        <is>
          <t>Base</t>
        </is>
      </c>
      <c r="I912" t="n">
        <v>0</v>
      </c>
    </row>
    <row r="913" ht="20" customHeight="1">
      <c r="A913" t="inlineStr">
        <is>
          <t>Grupo L</t>
        </is>
      </c>
      <c r="B913" t="inlineStr">
        <is>
          <t>CRO</t>
        </is>
      </c>
      <c r="C913" t="inlineStr">
        <is>
          <t>Croatia</t>
        </is>
      </c>
      <c r="D913" t="n">
        <v>12</v>
      </c>
      <c r="E913" t="inlineStr">
        <is>
          <t>CRO12</t>
        </is>
      </c>
      <c r="F913" t="inlineStr">
        <is>
          <t>Lovro Majer - Croatia</t>
        </is>
      </c>
      <c r="G913" t="inlineStr">
        <is>
          <t>Base</t>
        </is>
      </c>
      <c r="I913" t="n">
        <v>0</v>
      </c>
    </row>
    <row r="914" ht="20" customHeight="1">
      <c r="A914" t="inlineStr">
        <is>
          <t>Grupo L</t>
        </is>
      </c>
      <c r="B914" t="inlineStr">
        <is>
          <t>CRO</t>
        </is>
      </c>
      <c r="C914" t="inlineStr">
        <is>
          <t>Croatia</t>
        </is>
      </c>
      <c r="D914" t="n">
        <v>13</v>
      </c>
      <c r="E914" t="inlineStr">
        <is>
          <t>CRO13</t>
        </is>
      </c>
      <c r="F914" t="inlineStr">
        <is>
          <t>Team Photo - Croatia</t>
        </is>
      </c>
      <c r="G914" t="inlineStr">
        <is>
          <t>Base</t>
        </is>
      </c>
      <c r="I914" t="n">
        <v>0</v>
      </c>
    </row>
    <row r="915" ht="20" customHeight="1">
      <c r="A915" t="inlineStr">
        <is>
          <t>Grupo L</t>
        </is>
      </c>
      <c r="B915" t="inlineStr">
        <is>
          <t>CRO</t>
        </is>
      </c>
      <c r="C915" t="inlineStr">
        <is>
          <t>Croatia</t>
        </is>
      </c>
      <c r="D915" t="n">
        <v>14</v>
      </c>
      <c r="E915" t="inlineStr">
        <is>
          <t>CRO14</t>
        </is>
      </c>
      <c r="F915" t="inlineStr">
        <is>
          <t>Mario Pasalic - Croatia</t>
        </is>
      </c>
      <c r="G915" t="inlineStr">
        <is>
          <t>Base</t>
        </is>
      </c>
      <c r="I915" t="n">
        <v>0</v>
      </c>
    </row>
    <row r="916" ht="20" customHeight="1">
      <c r="A916" t="inlineStr">
        <is>
          <t>Grupo L</t>
        </is>
      </c>
      <c r="B916" t="inlineStr">
        <is>
          <t>CRO</t>
        </is>
      </c>
      <c r="C916" t="inlineStr">
        <is>
          <t>Croatia</t>
        </is>
      </c>
      <c r="D916" t="n">
        <v>15</v>
      </c>
      <c r="E916" t="inlineStr">
        <is>
          <t>CRO15</t>
        </is>
      </c>
      <c r="F916" t="inlineStr">
        <is>
          <t>Petar Sucic - Croatia</t>
        </is>
      </c>
      <c r="G916" t="inlineStr">
        <is>
          <t>Base</t>
        </is>
      </c>
      <c r="I916" t="n">
        <v>0</v>
      </c>
    </row>
    <row r="917" ht="20" customHeight="1">
      <c r="A917" t="inlineStr">
        <is>
          <t>Grupo L</t>
        </is>
      </c>
      <c r="B917" t="inlineStr">
        <is>
          <t>CRO</t>
        </is>
      </c>
      <c r="C917" t="inlineStr">
        <is>
          <t>Croatia</t>
        </is>
      </c>
      <c r="D917" t="n">
        <v>16</v>
      </c>
      <c r="E917" t="inlineStr">
        <is>
          <t>CRO16</t>
        </is>
      </c>
      <c r="F917" t="inlineStr">
        <is>
          <t>Ivan Perišić - Croatia</t>
        </is>
      </c>
      <c r="G917" t="inlineStr">
        <is>
          <t>Base</t>
        </is>
      </c>
      <c r="I917" t="n">
        <v>0</v>
      </c>
    </row>
    <row r="918" ht="20" customHeight="1">
      <c r="A918" t="inlineStr">
        <is>
          <t>Grupo L</t>
        </is>
      </c>
      <c r="B918" t="inlineStr">
        <is>
          <t>CRO</t>
        </is>
      </c>
      <c r="C918" t="inlineStr">
        <is>
          <t>Croatia</t>
        </is>
      </c>
      <c r="D918" t="n">
        <v>17</v>
      </c>
      <c r="E918" t="inlineStr">
        <is>
          <t>CRO17</t>
        </is>
      </c>
      <c r="F918" t="inlineStr">
        <is>
          <t>Marco Pasalic - Croatia</t>
        </is>
      </c>
      <c r="G918" t="inlineStr">
        <is>
          <t>Base</t>
        </is>
      </c>
      <c r="I918" t="n">
        <v>0</v>
      </c>
    </row>
    <row r="919" ht="20" customHeight="1">
      <c r="A919" t="inlineStr">
        <is>
          <t>Grupo L</t>
        </is>
      </c>
      <c r="B919" t="inlineStr">
        <is>
          <t>CRO</t>
        </is>
      </c>
      <c r="C919" t="inlineStr">
        <is>
          <t>Croatia</t>
        </is>
      </c>
      <c r="D919" t="n">
        <v>18</v>
      </c>
      <c r="E919" t="inlineStr">
        <is>
          <t>CRO18</t>
        </is>
      </c>
      <c r="F919" t="inlineStr">
        <is>
          <t>Ante Budimir - Croatia</t>
        </is>
      </c>
      <c r="G919" t="inlineStr">
        <is>
          <t>Base</t>
        </is>
      </c>
      <c r="I919" t="n">
        <v>0</v>
      </c>
    </row>
    <row r="920" ht="20" customHeight="1">
      <c r="A920" t="inlineStr">
        <is>
          <t>Grupo L</t>
        </is>
      </c>
      <c r="B920" t="inlineStr">
        <is>
          <t>CRO</t>
        </is>
      </c>
      <c r="C920" t="inlineStr">
        <is>
          <t>Croatia</t>
        </is>
      </c>
      <c r="D920" t="n">
        <v>19</v>
      </c>
      <c r="E920" t="inlineStr">
        <is>
          <t>CRO19</t>
        </is>
      </c>
      <c r="F920" t="inlineStr">
        <is>
          <t>Andrej Kramarić - Croatia</t>
        </is>
      </c>
      <c r="G920" t="inlineStr">
        <is>
          <t>Base</t>
        </is>
      </c>
      <c r="I920" t="n">
        <v>0</v>
      </c>
    </row>
    <row r="921" ht="20" customHeight="1">
      <c r="A921" t="inlineStr">
        <is>
          <t>Grupo L</t>
        </is>
      </c>
      <c r="B921" t="inlineStr">
        <is>
          <t>CRO</t>
        </is>
      </c>
      <c r="C921" t="inlineStr">
        <is>
          <t>Croatia</t>
        </is>
      </c>
      <c r="D921" t="n">
        <v>20</v>
      </c>
      <c r="E921" t="inlineStr">
        <is>
          <t>CRO20</t>
        </is>
      </c>
      <c r="F921" t="inlineStr">
        <is>
          <t>Franjo Ivanovic - Croatia</t>
        </is>
      </c>
      <c r="G921" t="inlineStr">
        <is>
          <t>Base</t>
        </is>
      </c>
      <c r="I921" t="n">
        <v>0</v>
      </c>
    </row>
    <row r="922" ht="20" customHeight="1">
      <c r="A922" t="inlineStr">
        <is>
          <t>Grupo L</t>
        </is>
      </c>
      <c r="B922" t="inlineStr">
        <is>
          <t>GHA</t>
        </is>
      </c>
      <c r="C922" t="inlineStr">
        <is>
          <t>Ghana</t>
        </is>
      </c>
      <c r="D922" t="n">
        <v>1</v>
      </c>
      <c r="E922" t="inlineStr">
        <is>
          <t>GHA1</t>
        </is>
      </c>
      <c r="F922" t="inlineStr">
        <is>
          <t>Team Logo - Ghana FOIL</t>
        </is>
      </c>
      <c r="G922" t="inlineStr">
        <is>
          <t>FOIL</t>
        </is>
      </c>
      <c r="I922" t="n">
        <v>0</v>
      </c>
    </row>
    <row r="923" ht="20" customHeight="1">
      <c r="A923" t="inlineStr">
        <is>
          <t>Grupo L</t>
        </is>
      </c>
      <c r="B923" t="inlineStr">
        <is>
          <t>GHA</t>
        </is>
      </c>
      <c r="C923" t="inlineStr">
        <is>
          <t>Ghana</t>
        </is>
      </c>
      <c r="D923" t="n">
        <v>2</v>
      </c>
      <c r="E923" t="inlineStr">
        <is>
          <t>GHA2</t>
        </is>
      </c>
      <c r="F923" t="inlineStr">
        <is>
          <t>Lawrence Ati Zigi - Ghana</t>
        </is>
      </c>
      <c r="G923" t="inlineStr">
        <is>
          <t>Base</t>
        </is>
      </c>
      <c r="I923" t="n">
        <v>0</v>
      </c>
    </row>
    <row r="924" ht="20" customHeight="1">
      <c r="A924" t="inlineStr">
        <is>
          <t>Grupo L</t>
        </is>
      </c>
      <c r="B924" t="inlineStr">
        <is>
          <t>GHA</t>
        </is>
      </c>
      <c r="C924" t="inlineStr">
        <is>
          <t>Ghana</t>
        </is>
      </c>
      <c r="D924" t="n">
        <v>3</v>
      </c>
      <c r="E924" t="inlineStr">
        <is>
          <t>GHA3</t>
        </is>
      </c>
      <c r="F924" t="inlineStr">
        <is>
          <t>Tariq Lamptey - Ghana</t>
        </is>
      </c>
      <c r="G924" t="inlineStr">
        <is>
          <t>Base</t>
        </is>
      </c>
      <c r="I924" t="n">
        <v>0</v>
      </c>
    </row>
    <row r="925" ht="20" customHeight="1">
      <c r="A925" t="inlineStr">
        <is>
          <t>Grupo L</t>
        </is>
      </c>
      <c r="B925" t="inlineStr">
        <is>
          <t>GHA</t>
        </is>
      </c>
      <c r="C925" t="inlineStr">
        <is>
          <t>Ghana</t>
        </is>
      </c>
      <c r="D925" t="n">
        <v>4</v>
      </c>
      <c r="E925" t="inlineStr">
        <is>
          <t>GHA4</t>
        </is>
      </c>
      <c r="F925" t="inlineStr">
        <is>
          <t>Mohammed Salisu - Ghana</t>
        </is>
      </c>
      <c r="G925" t="inlineStr">
        <is>
          <t>Base</t>
        </is>
      </c>
      <c r="I925" t="n">
        <v>0</v>
      </c>
    </row>
    <row r="926" ht="20" customHeight="1">
      <c r="A926" t="inlineStr">
        <is>
          <t>Grupo L</t>
        </is>
      </c>
      <c r="B926" t="inlineStr">
        <is>
          <t>GHA</t>
        </is>
      </c>
      <c r="C926" t="inlineStr">
        <is>
          <t>Ghana</t>
        </is>
      </c>
      <c r="D926" t="n">
        <v>5</v>
      </c>
      <c r="E926" t="inlineStr">
        <is>
          <t>GHA5</t>
        </is>
      </c>
      <c r="F926" t="inlineStr">
        <is>
          <t>Alidu Seidu - Ghana</t>
        </is>
      </c>
      <c r="G926" t="inlineStr">
        <is>
          <t>Base</t>
        </is>
      </c>
      <c r="I926" t="n">
        <v>0</v>
      </c>
    </row>
    <row r="927" ht="20" customHeight="1">
      <c r="A927" t="inlineStr">
        <is>
          <t>Grupo L</t>
        </is>
      </c>
      <c r="B927" t="inlineStr">
        <is>
          <t>GHA</t>
        </is>
      </c>
      <c r="C927" t="inlineStr">
        <is>
          <t>Ghana</t>
        </is>
      </c>
      <c r="D927" t="n">
        <v>6</v>
      </c>
      <c r="E927" t="inlineStr">
        <is>
          <t>GHA6</t>
        </is>
      </c>
      <c r="F927" t="inlineStr">
        <is>
          <t>Alexander Djiku - Ghana</t>
        </is>
      </c>
      <c r="G927" t="inlineStr">
        <is>
          <t>Base</t>
        </is>
      </c>
      <c r="I927" t="n">
        <v>0</v>
      </c>
    </row>
    <row r="928" ht="20" customHeight="1">
      <c r="A928" t="inlineStr">
        <is>
          <t>Grupo L</t>
        </is>
      </c>
      <c r="B928" t="inlineStr">
        <is>
          <t>GHA</t>
        </is>
      </c>
      <c r="C928" t="inlineStr">
        <is>
          <t>Ghana</t>
        </is>
      </c>
      <c r="D928" t="n">
        <v>7</v>
      </c>
      <c r="E928" t="inlineStr">
        <is>
          <t>GHA7</t>
        </is>
      </c>
      <c r="F928" t="inlineStr">
        <is>
          <t>Gideon Mensah - Ghana</t>
        </is>
      </c>
      <c r="G928" t="inlineStr">
        <is>
          <t>Base</t>
        </is>
      </c>
      <c r="I928" t="n">
        <v>0</v>
      </c>
    </row>
    <row r="929" ht="20" customHeight="1">
      <c r="A929" t="inlineStr">
        <is>
          <t>Grupo L</t>
        </is>
      </c>
      <c r="B929" t="inlineStr">
        <is>
          <t>GHA</t>
        </is>
      </c>
      <c r="C929" t="inlineStr">
        <is>
          <t>Ghana</t>
        </is>
      </c>
      <c r="D929" t="n">
        <v>8</v>
      </c>
      <c r="E929" t="inlineStr">
        <is>
          <t>GHA8</t>
        </is>
      </c>
      <c r="F929" t="inlineStr">
        <is>
          <t>Caleb Yirenkyi - Ghana</t>
        </is>
      </c>
      <c r="G929" t="inlineStr">
        <is>
          <t>Base</t>
        </is>
      </c>
      <c r="I929" t="n">
        <v>0</v>
      </c>
    </row>
    <row r="930" ht="20" customHeight="1">
      <c r="A930" t="inlineStr">
        <is>
          <t>Grupo L</t>
        </is>
      </c>
      <c r="B930" t="inlineStr">
        <is>
          <t>GHA</t>
        </is>
      </c>
      <c r="C930" t="inlineStr">
        <is>
          <t>Ghana</t>
        </is>
      </c>
      <c r="D930" t="n">
        <v>9</v>
      </c>
      <c r="E930" t="inlineStr">
        <is>
          <t>GHA9</t>
        </is>
      </c>
      <c r="F930" t="inlineStr">
        <is>
          <t>Abdul Issahaku Fatawu - Ghana</t>
        </is>
      </c>
      <c r="G930" t="inlineStr">
        <is>
          <t>Base</t>
        </is>
      </c>
      <c r="I930" t="n">
        <v>0</v>
      </c>
    </row>
    <row r="931" ht="20" customHeight="1">
      <c r="A931" t="inlineStr">
        <is>
          <t>Grupo L</t>
        </is>
      </c>
      <c r="B931" t="inlineStr">
        <is>
          <t>GHA</t>
        </is>
      </c>
      <c r="C931" t="inlineStr">
        <is>
          <t>Ghana</t>
        </is>
      </c>
      <c r="D931" t="n">
        <v>10</v>
      </c>
      <c r="E931" t="inlineStr">
        <is>
          <t>GHA10</t>
        </is>
      </c>
      <c r="F931" t="inlineStr">
        <is>
          <t>Thomas Partey - Ghana</t>
        </is>
      </c>
      <c r="G931" t="inlineStr">
        <is>
          <t>Base</t>
        </is>
      </c>
      <c r="I931" t="n">
        <v>0</v>
      </c>
    </row>
    <row r="932" ht="20" customHeight="1">
      <c r="A932" t="inlineStr">
        <is>
          <t>Grupo L</t>
        </is>
      </c>
      <c r="B932" t="inlineStr">
        <is>
          <t>GHA</t>
        </is>
      </c>
      <c r="C932" t="inlineStr">
        <is>
          <t>Ghana</t>
        </is>
      </c>
      <c r="D932" t="n">
        <v>11</v>
      </c>
      <c r="E932" t="inlineStr">
        <is>
          <t>GHA11</t>
        </is>
      </c>
      <c r="F932" t="inlineStr">
        <is>
          <t>Salis Abdul Samed - Ghana</t>
        </is>
      </c>
      <c r="G932" t="inlineStr">
        <is>
          <t>Base</t>
        </is>
      </c>
      <c r="I932" t="n">
        <v>0</v>
      </c>
    </row>
    <row r="933" ht="20" customHeight="1">
      <c r="A933" t="inlineStr">
        <is>
          <t>Grupo L</t>
        </is>
      </c>
      <c r="B933" t="inlineStr">
        <is>
          <t>GHA</t>
        </is>
      </c>
      <c r="C933" t="inlineStr">
        <is>
          <t>Ghana</t>
        </is>
      </c>
      <c r="D933" t="n">
        <v>12</v>
      </c>
      <c r="E933" t="inlineStr">
        <is>
          <t>GHA12</t>
        </is>
      </c>
      <c r="F933" t="inlineStr">
        <is>
          <t>Kamaldeen Sulemana - Ghana</t>
        </is>
      </c>
      <c r="G933" t="inlineStr">
        <is>
          <t>Base</t>
        </is>
      </c>
      <c r="I933" t="n">
        <v>0</v>
      </c>
    </row>
    <row r="934" ht="20" customHeight="1">
      <c r="A934" t="inlineStr">
        <is>
          <t>Grupo L</t>
        </is>
      </c>
      <c r="B934" t="inlineStr">
        <is>
          <t>GHA</t>
        </is>
      </c>
      <c r="C934" t="inlineStr">
        <is>
          <t>Ghana</t>
        </is>
      </c>
      <c r="D934" t="n">
        <v>13</v>
      </c>
      <c r="E934" t="inlineStr">
        <is>
          <t>GHA13</t>
        </is>
      </c>
      <c r="F934" t="inlineStr">
        <is>
          <t>Team Photo - Ghana</t>
        </is>
      </c>
      <c r="G934" t="inlineStr">
        <is>
          <t>Base</t>
        </is>
      </c>
      <c r="I934" t="n">
        <v>0</v>
      </c>
    </row>
    <row r="935" ht="20" customHeight="1">
      <c r="A935" t="inlineStr">
        <is>
          <t>Grupo L</t>
        </is>
      </c>
      <c r="B935" t="inlineStr">
        <is>
          <t>GHA</t>
        </is>
      </c>
      <c r="C935" t="inlineStr">
        <is>
          <t>Ghana</t>
        </is>
      </c>
      <c r="D935" t="n">
        <v>14</v>
      </c>
      <c r="E935" t="inlineStr">
        <is>
          <t>GHA14</t>
        </is>
      </c>
      <c r="F935" t="inlineStr">
        <is>
          <t>Mohammed Kudus - Ghana</t>
        </is>
      </c>
      <c r="G935" t="inlineStr">
        <is>
          <t>Base</t>
        </is>
      </c>
      <c r="I935" t="n">
        <v>0</v>
      </c>
    </row>
    <row r="936" ht="20" customHeight="1">
      <c r="A936" t="inlineStr">
        <is>
          <t>Grupo L</t>
        </is>
      </c>
      <c r="B936" t="inlineStr">
        <is>
          <t>GHA</t>
        </is>
      </c>
      <c r="C936" t="inlineStr">
        <is>
          <t>Ghana</t>
        </is>
      </c>
      <c r="D936" t="n">
        <v>15</v>
      </c>
      <c r="E936" t="inlineStr">
        <is>
          <t>GHA15</t>
        </is>
      </c>
      <c r="F936" t="inlineStr">
        <is>
          <t>Inaki Williams - Ghana</t>
        </is>
      </c>
      <c r="G936" t="inlineStr">
        <is>
          <t>Base</t>
        </is>
      </c>
      <c r="I936" t="n">
        <v>0</v>
      </c>
    </row>
    <row r="937" ht="20" customHeight="1">
      <c r="A937" t="inlineStr">
        <is>
          <t>Grupo L</t>
        </is>
      </c>
      <c r="B937" t="inlineStr">
        <is>
          <t>GHA</t>
        </is>
      </c>
      <c r="C937" t="inlineStr">
        <is>
          <t>Ghana</t>
        </is>
      </c>
      <c r="D937" t="n">
        <v>16</v>
      </c>
      <c r="E937" t="inlineStr">
        <is>
          <t>GHA16</t>
        </is>
      </c>
      <c r="F937" t="inlineStr">
        <is>
          <t>Jordan Ayew - Ghana</t>
        </is>
      </c>
      <c r="G937" t="inlineStr">
        <is>
          <t>Base</t>
        </is>
      </c>
      <c r="I937" t="n">
        <v>0</v>
      </c>
    </row>
    <row r="938" ht="20" customHeight="1">
      <c r="A938" t="inlineStr">
        <is>
          <t>Grupo L</t>
        </is>
      </c>
      <c r="B938" t="inlineStr">
        <is>
          <t>GHA</t>
        </is>
      </c>
      <c r="C938" t="inlineStr">
        <is>
          <t>Ghana</t>
        </is>
      </c>
      <c r="D938" t="n">
        <v>17</v>
      </c>
      <c r="E938" t="inlineStr">
        <is>
          <t>GHA17</t>
        </is>
      </c>
      <c r="F938" t="inlineStr">
        <is>
          <t>Andrew Ayew - Ghana</t>
        </is>
      </c>
      <c r="G938" t="inlineStr">
        <is>
          <t>Base</t>
        </is>
      </c>
      <c r="I938" t="n">
        <v>0</v>
      </c>
    </row>
    <row r="939" ht="20" customHeight="1">
      <c r="A939" t="inlineStr">
        <is>
          <t>Grupo L</t>
        </is>
      </c>
      <c r="B939" t="inlineStr">
        <is>
          <t>GHA</t>
        </is>
      </c>
      <c r="C939" t="inlineStr">
        <is>
          <t>Ghana</t>
        </is>
      </c>
      <c r="D939" t="n">
        <v>18</v>
      </c>
      <c r="E939" t="inlineStr">
        <is>
          <t>GHA18</t>
        </is>
      </c>
      <c r="F939" t="inlineStr">
        <is>
          <t>Joseph Paintsil - Ghana</t>
        </is>
      </c>
      <c r="G939" t="inlineStr">
        <is>
          <t>Base</t>
        </is>
      </c>
      <c r="I939" t="n">
        <v>0</v>
      </c>
    </row>
    <row r="940" ht="20" customHeight="1">
      <c r="A940" t="inlineStr">
        <is>
          <t>Grupo L</t>
        </is>
      </c>
      <c r="B940" t="inlineStr">
        <is>
          <t>GHA</t>
        </is>
      </c>
      <c r="C940" t="inlineStr">
        <is>
          <t>Ghana</t>
        </is>
      </c>
      <c r="D940" t="n">
        <v>19</v>
      </c>
      <c r="E940" t="inlineStr">
        <is>
          <t>GHA19</t>
        </is>
      </c>
      <c r="F940" t="inlineStr">
        <is>
          <t>Osman Bukari - Ghana</t>
        </is>
      </c>
      <c r="G940" t="inlineStr">
        <is>
          <t>Base</t>
        </is>
      </c>
      <c r="I940" t="n">
        <v>0</v>
      </c>
    </row>
    <row r="941" ht="20" customHeight="1">
      <c r="A941" t="inlineStr">
        <is>
          <t>Grupo L</t>
        </is>
      </c>
      <c r="B941" t="inlineStr">
        <is>
          <t>GHA</t>
        </is>
      </c>
      <c r="C941" t="inlineStr">
        <is>
          <t>Ghana</t>
        </is>
      </c>
      <c r="D941" t="n">
        <v>20</v>
      </c>
      <c r="E941" t="inlineStr">
        <is>
          <t>GHA20</t>
        </is>
      </c>
      <c r="F941" t="inlineStr">
        <is>
          <t>Antoine Semenyo - Ghana</t>
        </is>
      </c>
      <c r="G941" t="inlineStr">
        <is>
          <t>Base</t>
        </is>
      </c>
      <c r="I941" t="n">
        <v>0</v>
      </c>
    </row>
    <row r="942" ht="20" customHeight="1">
      <c r="A942" t="inlineStr">
        <is>
          <t>Grupo L</t>
        </is>
      </c>
      <c r="B942" t="inlineStr">
        <is>
          <t>PAN</t>
        </is>
      </c>
      <c r="C942" t="inlineStr">
        <is>
          <t>Panama</t>
        </is>
      </c>
      <c r="D942" t="n">
        <v>1</v>
      </c>
      <c r="E942" t="inlineStr">
        <is>
          <t>PAN1</t>
        </is>
      </c>
      <c r="F942" t="inlineStr">
        <is>
          <t>Team Logo - Panama FOIL</t>
        </is>
      </c>
      <c r="G942" t="inlineStr">
        <is>
          <t>FOIL</t>
        </is>
      </c>
      <c r="I942" t="n">
        <v>0</v>
      </c>
    </row>
    <row r="943" ht="20" customHeight="1">
      <c r="A943" t="inlineStr">
        <is>
          <t>Grupo L</t>
        </is>
      </c>
      <c r="B943" t="inlineStr">
        <is>
          <t>PAN</t>
        </is>
      </c>
      <c r="C943" t="inlineStr">
        <is>
          <t>Panama</t>
        </is>
      </c>
      <c r="D943" t="n">
        <v>2</v>
      </c>
      <c r="E943" t="inlineStr">
        <is>
          <t>PAN2</t>
        </is>
      </c>
      <c r="F943" t="inlineStr">
        <is>
          <t>Orlando Mosquera - Panama</t>
        </is>
      </c>
      <c r="G943" t="inlineStr">
        <is>
          <t>Base</t>
        </is>
      </c>
      <c r="I943" t="n">
        <v>0</v>
      </c>
    </row>
    <row r="944" ht="20" customHeight="1">
      <c r="A944" t="inlineStr">
        <is>
          <t>Grupo L</t>
        </is>
      </c>
      <c r="B944" t="inlineStr">
        <is>
          <t>PAN</t>
        </is>
      </c>
      <c r="C944" t="inlineStr">
        <is>
          <t>Panama</t>
        </is>
      </c>
      <c r="D944" t="n">
        <v>3</v>
      </c>
      <c r="E944" t="inlineStr">
        <is>
          <t>PAN3</t>
        </is>
      </c>
      <c r="F944" t="inlineStr">
        <is>
          <t>Luis Mejia - Panama</t>
        </is>
      </c>
      <c r="G944" t="inlineStr">
        <is>
          <t>Base</t>
        </is>
      </c>
      <c r="I944" t="n">
        <v>0</v>
      </c>
    </row>
    <row r="945" ht="20" customHeight="1">
      <c r="A945" t="inlineStr">
        <is>
          <t>Grupo L</t>
        </is>
      </c>
      <c r="B945" t="inlineStr">
        <is>
          <t>PAN</t>
        </is>
      </c>
      <c r="C945" t="inlineStr">
        <is>
          <t>Panama</t>
        </is>
      </c>
      <c r="D945" t="n">
        <v>4</v>
      </c>
      <c r="E945" t="inlineStr">
        <is>
          <t>PAN4</t>
        </is>
      </c>
      <c r="F945" t="inlineStr">
        <is>
          <t>Fidel Escobar - Panama</t>
        </is>
      </c>
      <c r="G945" t="inlineStr">
        <is>
          <t>Base</t>
        </is>
      </c>
      <c r="I945" t="n">
        <v>0</v>
      </c>
    </row>
    <row r="946" ht="20" customHeight="1">
      <c r="A946" t="inlineStr">
        <is>
          <t>Grupo L</t>
        </is>
      </c>
      <c r="B946" t="inlineStr">
        <is>
          <t>PAN</t>
        </is>
      </c>
      <c r="C946" t="inlineStr">
        <is>
          <t>Panama</t>
        </is>
      </c>
      <c r="D946" t="n">
        <v>5</v>
      </c>
      <c r="E946" t="inlineStr">
        <is>
          <t>PAN5</t>
        </is>
      </c>
      <c r="F946" t="inlineStr">
        <is>
          <t>Andres Andrade - Panama</t>
        </is>
      </c>
      <c r="G946" t="inlineStr">
        <is>
          <t>Base</t>
        </is>
      </c>
      <c r="I946" t="n">
        <v>0</v>
      </c>
    </row>
    <row r="947" ht="20" customHeight="1">
      <c r="A947" t="inlineStr">
        <is>
          <t>Grupo L</t>
        </is>
      </c>
      <c r="B947" t="inlineStr">
        <is>
          <t>PAN</t>
        </is>
      </c>
      <c r="C947" t="inlineStr">
        <is>
          <t>Panama</t>
        </is>
      </c>
      <c r="D947" t="n">
        <v>6</v>
      </c>
      <c r="E947" t="inlineStr">
        <is>
          <t>PAN6</t>
        </is>
      </c>
      <c r="F947" t="inlineStr">
        <is>
          <t>Michael Amir Murillo - Panama</t>
        </is>
      </c>
      <c r="G947" t="inlineStr">
        <is>
          <t>Base</t>
        </is>
      </c>
      <c r="I947" t="n">
        <v>0</v>
      </c>
    </row>
    <row r="948" ht="20" customHeight="1">
      <c r="A948" t="inlineStr">
        <is>
          <t>Grupo L</t>
        </is>
      </c>
      <c r="B948" t="inlineStr">
        <is>
          <t>PAN</t>
        </is>
      </c>
      <c r="C948" t="inlineStr">
        <is>
          <t>Panama</t>
        </is>
      </c>
      <c r="D948" t="n">
        <v>7</v>
      </c>
      <c r="E948" t="inlineStr">
        <is>
          <t>PAN7</t>
        </is>
      </c>
      <c r="F948" t="inlineStr">
        <is>
          <t>Eric Davis - Panama</t>
        </is>
      </c>
      <c r="G948" t="inlineStr">
        <is>
          <t>Base</t>
        </is>
      </c>
      <c r="I948" t="n">
        <v>0</v>
      </c>
    </row>
    <row r="949" ht="20" customHeight="1">
      <c r="A949" t="inlineStr">
        <is>
          <t>Grupo L</t>
        </is>
      </c>
      <c r="B949" t="inlineStr">
        <is>
          <t>PAN</t>
        </is>
      </c>
      <c r="C949" t="inlineStr">
        <is>
          <t>Panama</t>
        </is>
      </c>
      <c r="D949" t="n">
        <v>8</v>
      </c>
      <c r="E949" t="inlineStr">
        <is>
          <t>PAN8</t>
        </is>
      </c>
      <c r="F949" t="inlineStr">
        <is>
          <t>Jose Cordoba - Panama</t>
        </is>
      </c>
      <c r="G949" t="inlineStr">
        <is>
          <t>Base</t>
        </is>
      </c>
      <c r="I949" t="n">
        <v>0</v>
      </c>
    </row>
    <row r="950" ht="20" customHeight="1">
      <c r="A950" t="inlineStr">
        <is>
          <t>Grupo L</t>
        </is>
      </c>
      <c r="B950" t="inlineStr">
        <is>
          <t>PAN</t>
        </is>
      </c>
      <c r="C950" t="inlineStr">
        <is>
          <t>Panama</t>
        </is>
      </c>
      <c r="D950" t="n">
        <v>9</v>
      </c>
      <c r="E950" t="inlineStr">
        <is>
          <t>PAN9</t>
        </is>
      </c>
      <c r="F950" t="inlineStr">
        <is>
          <t>Cesar Blackman - Panama</t>
        </is>
      </c>
      <c r="G950" t="inlineStr">
        <is>
          <t>Base</t>
        </is>
      </c>
      <c r="I950" t="n">
        <v>0</v>
      </c>
    </row>
    <row r="951" ht="20" customHeight="1">
      <c r="A951" t="inlineStr">
        <is>
          <t>Grupo L</t>
        </is>
      </c>
      <c r="B951" t="inlineStr">
        <is>
          <t>PAN</t>
        </is>
      </c>
      <c r="C951" t="inlineStr">
        <is>
          <t>Panama</t>
        </is>
      </c>
      <c r="D951" t="n">
        <v>10</v>
      </c>
      <c r="E951" t="inlineStr">
        <is>
          <t>PAN10</t>
        </is>
      </c>
      <c r="F951" t="inlineStr">
        <is>
          <t>Cristian Martinez - Panama</t>
        </is>
      </c>
      <c r="G951" t="inlineStr">
        <is>
          <t>Base</t>
        </is>
      </c>
      <c r="I951" t="n">
        <v>0</v>
      </c>
    </row>
    <row r="952" ht="20" customHeight="1">
      <c r="A952" t="inlineStr">
        <is>
          <t>Grupo L</t>
        </is>
      </c>
      <c r="B952" t="inlineStr">
        <is>
          <t>PAN</t>
        </is>
      </c>
      <c r="C952" t="inlineStr">
        <is>
          <t>Panama</t>
        </is>
      </c>
      <c r="D952" t="n">
        <v>11</v>
      </c>
      <c r="E952" t="inlineStr">
        <is>
          <t>PAN11</t>
        </is>
      </c>
      <c r="F952" t="inlineStr">
        <is>
          <t>Aníbal Godoy - Panama</t>
        </is>
      </c>
      <c r="G952" t="inlineStr">
        <is>
          <t>Base</t>
        </is>
      </c>
      <c r="I952" t="n">
        <v>0</v>
      </c>
    </row>
    <row r="953" ht="20" customHeight="1">
      <c r="A953" t="inlineStr">
        <is>
          <t>Grupo L</t>
        </is>
      </c>
      <c r="B953" t="inlineStr">
        <is>
          <t>PAN</t>
        </is>
      </c>
      <c r="C953" t="inlineStr">
        <is>
          <t>Panama</t>
        </is>
      </c>
      <c r="D953" t="n">
        <v>12</v>
      </c>
      <c r="E953" t="inlineStr">
        <is>
          <t>PAN12</t>
        </is>
      </c>
      <c r="F953" t="inlineStr">
        <is>
          <t>Adalberto Carrasquilla - Panama</t>
        </is>
      </c>
      <c r="G953" t="inlineStr">
        <is>
          <t>Base</t>
        </is>
      </c>
      <c r="I953" t="n">
        <v>0</v>
      </c>
    </row>
    <row r="954" ht="20" customHeight="1">
      <c r="A954" t="inlineStr">
        <is>
          <t>Grupo L</t>
        </is>
      </c>
      <c r="B954" t="inlineStr">
        <is>
          <t>PAN</t>
        </is>
      </c>
      <c r="C954" t="inlineStr">
        <is>
          <t>Panama</t>
        </is>
      </c>
      <c r="D954" t="n">
        <v>13</v>
      </c>
      <c r="E954" t="inlineStr">
        <is>
          <t>PAN13</t>
        </is>
      </c>
      <c r="F954" t="inlineStr">
        <is>
          <t>Team Photo - Panama</t>
        </is>
      </c>
      <c r="G954" t="inlineStr">
        <is>
          <t>Base</t>
        </is>
      </c>
      <c r="I954" t="n">
        <v>0</v>
      </c>
    </row>
    <row r="955" ht="20" customHeight="1">
      <c r="A955" t="inlineStr">
        <is>
          <t>Grupo L</t>
        </is>
      </c>
      <c r="B955" t="inlineStr">
        <is>
          <t>PAN</t>
        </is>
      </c>
      <c r="C955" t="inlineStr">
        <is>
          <t>Panama</t>
        </is>
      </c>
      <c r="D955" t="n">
        <v>14</v>
      </c>
      <c r="E955" t="inlineStr">
        <is>
          <t>PAN14</t>
        </is>
      </c>
      <c r="F955" t="inlineStr">
        <is>
          <t>Édgar Bárcenas - Panama</t>
        </is>
      </c>
      <c r="G955" t="inlineStr">
        <is>
          <t>Base</t>
        </is>
      </c>
      <c r="I955" t="n">
        <v>0</v>
      </c>
    </row>
    <row r="956" ht="20" customHeight="1">
      <c r="A956" t="inlineStr">
        <is>
          <t>Grupo L</t>
        </is>
      </c>
      <c r="B956" t="inlineStr">
        <is>
          <t>PAN</t>
        </is>
      </c>
      <c r="C956" t="inlineStr">
        <is>
          <t>Panama</t>
        </is>
      </c>
      <c r="D956" t="n">
        <v>15</v>
      </c>
      <c r="E956" t="inlineStr">
        <is>
          <t>PAN15</t>
        </is>
      </c>
      <c r="F956" t="inlineStr">
        <is>
          <t>Carlos Harvey - Panama</t>
        </is>
      </c>
      <c r="G956" t="inlineStr">
        <is>
          <t>Base</t>
        </is>
      </c>
      <c r="I956" t="n">
        <v>0</v>
      </c>
    </row>
    <row r="957" ht="20" customHeight="1">
      <c r="A957" t="inlineStr">
        <is>
          <t>Grupo L</t>
        </is>
      </c>
      <c r="B957" t="inlineStr">
        <is>
          <t>PAN</t>
        </is>
      </c>
      <c r="C957" t="inlineStr">
        <is>
          <t>Panama</t>
        </is>
      </c>
      <c r="D957" t="n">
        <v>16</v>
      </c>
      <c r="E957" t="inlineStr">
        <is>
          <t>PAN16</t>
        </is>
      </c>
      <c r="F957" t="inlineStr">
        <is>
          <t>Ismael Díaz - Panama</t>
        </is>
      </c>
      <c r="G957" t="inlineStr">
        <is>
          <t>Base</t>
        </is>
      </c>
      <c r="I957" t="n">
        <v>0</v>
      </c>
    </row>
    <row r="958" ht="20" customHeight="1">
      <c r="A958" t="inlineStr">
        <is>
          <t>Grupo L</t>
        </is>
      </c>
      <c r="B958" t="inlineStr">
        <is>
          <t>PAN</t>
        </is>
      </c>
      <c r="C958" t="inlineStr">
        <is>
          <t>Panama</t>
        </is>
      </c>
      <c r="D958" t="n">
        <v>17</v>
      </c>
      <c r="E958" t="inlineStr">
        <is>
          <t>PAN17</t>
        </is>
      </c>
      <c r="F958" t="inlineStr">
        <is>
          <t>Jose Fajardo - Panama</t>
        </is>
      </c>
      <c r="G958" t="inlineStr">
        <is>
          <t>Base</t>
        </is>
      </c>
      <c r="I958" t="n">
        <v>0</v>
      </c>
    </row>
    <row r="959" ht="20" customHeight="1">
      <c r="A959" t="inlineStr">
        <is>
          <t>Grupo L</t>
        </is>
      </c>
      <c r="B959" t="inlineStr">
        <is>
          <t>PAN</t>
        </is>
      </c>
      <c r="C959" t="inlineStr">
        <is>
          <t>Panama</t>
        </is>
      </c>
      <c r="D959" t="n">
        <v>18</v>
      </c>
      <c r="E959" t="inlineStr">
        <is>
          <t>PAN18</t>
        </is>
      </c>
      <c r="F959" t="inlineStr">
        <is>
          <t>Cecilio Waterman - Panama</t>
        </is>
      </c>
      <c r="G959" t="inlineStr">
        <is>
          <t>Base</t>
        </is>
      </c>
      <c r="I959" t="n">
        <v>0</v>
      </c>
    </row>
    <row r="960" ht="20" customHeight="1">
      <c r="A960" t="inlineStr">
        <is>
          <t>Grupo L</t>
        </is>
      </c>
      <c r="B960" t="inlineStr">
        <is>
          <t>PAN</t>
        </is>
      </c>
      <c r="C960" t="inlineStr">
        <is>
          <t>Panama</t>
        </is>
      </c>
      <c r="D960" t="n">
        <v>19</v>
      </c>
      <c r="E960" t="inlineStr">
        <is>
          <t>PAN19</t>
        </is>
      </c>
      <c r="F960" t="inlineStr">
        <is>
          <t>Jose Luiz Rodriguez - Panama</t>
        </is>
      </c>
      <c r="G960" t="inlineStr">
        <is>
          <t>Base</t>
        </is>
      </c>
      <c r="I960" t="n">
        <v>0</v>
      </c>
    </row>
    <row r="961" ht="20" customHeight="1">
      <c r="A961" t="inlineStr">
        <is>
          <t>Grupo L</t>
        </is>
      </c>
      <c r="B961" t="inlineStr">
        <is>
          <t>PAN</t>
        </is>
      </c>
      <c r="C961" t="inlineStr">
        <is>
          <t>Panama</t>
        </is>
      </c>
      <c r="D961" t="n">
        <v>20</v>
      </c>
      <c r="E961" t="inlineStr">
        <is>
          <t>PAN20</t>
        </is>
      </c>
      <c r="F961" t="inlineStr">
        <is>
          <t>Alberto Quintero - Panama</t>
        </is>
      </c>
      <c r="G961" t="inlineStr">
        <is>
          <t>Base</t>
        </is>
      </c>
      <c r="I961" t="n">
        <v>0</v>
      </c>
    </row>
  </sheetData>
  <conditionalFormatting sqref="H2:H961">
    <cfRule type="expression" priority="1" dxfId="0">
      <formula>OR($H2="Sim",$H2="Yes")</formula>
    </cfRule>
    <cfRule type="expression" priority="2" dxfId="1">
      <formula>OR($H2="Não",$H2="No")</formula>
    </cfRule>
    <cfRule type="expression" priority="3" dxfId="2">
      <formula>OR($H2="Falta trocar",$H2="Need swap")</formula>
    </cfRule>
  </conditionalFormatting>
  <conditionalFormatting sqref="A2:I961">
    <cfRule type="expression" priority="4" dxfId="3">
      <formula>=MOD(INT((ROW()-2)/80),2)=0</formula>
    </cfRule>
  </conditionalFormatting>
  <dataValidations count="1">
    <dataValidation sqref="H2:H961" showDropDown="0" showInputMessage="0" showErrorMessage="0" allowBlank="1" errorTitle="Lista" error="Escolha um valor da lista em Config." type="list">
      <formula1>Config!$D$1:$D$3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F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28" customHeight="1">
      <c r="A1" s="25" t="inlineStr">
        <is>
          <t>Idx</t>
        </is>
      </c>
      <c r="B1" s="25" t="inlineStr">
        <is>
          <t>Code</t>
        </is>
      </c>
      <c r="C1" s="25" t="inlineStr">
        <is>
          <t>Sticker</t>
        </is>
      </c>
      <c r="D1" s="25" t="inlineStr">
        <is>
          <t>Type</t>
        </is>
      </c>
      <c r="E1" s="25" t="inlineStr">
        <is>
          <t>Status</t>
        </is>
      </c>
      <c r="F1" s="25" t="inlineStr">
        <is>
          <t>Dup</t>
        </is>
      </c>
    </row>
    <row r="2">
      <c r="A2" t="n">
        <v>1</v>
      </c>
      <c r="B2" t="inlineStr">
        <is>
          <t>FWC9</t>
        </is>
      </c>
      <c r="C2" t="inlineStr">
        <is>
          <t>Italy 1934 - FIFA Museum FOIL</t>
        </is>
      </c>
      <c r="D2" t="inlineStr">
        <is>
          <t>FOIL</t>
        </is>
      </c>
      <c r="F2" t="n">
        <v>0</v>
      </c>
    </row>
    <row r="3">
      <c r="A3" t="n">
        <v>2</v>
      </c>
      <c r="B3" t="inlineStr">
        <is>
          <t>FWC10</t>
        </is>
      </c>
      <c r="C3" t="inlineStr">
        <is>
          <t>Uruguay 1950 - FIFA Museum FOIL</t>
        </is>
      </c>
      <c r="D3" t="inlineStr">
        <is>
          <t>FOIL</t>
        </is>
      </c>
      <c r="F3" t="n">
        <v>0</v>
      </c>
    </row>
    <row r="4">
      <c r="A4" t="n">
        <v>3</v>
      </c>
      <c r="B4" t="inlineStr">
        <is>
          <t>FWC11</t>
        </is>
      </c>
      <c r="C4" t="inlineStr">
        <is>
          <t>West Germany 1954 - FIFA Museum FOIL</t>
        </is>
      </c>
      <c r="D4" t="inlineStr">
        <is>
          <t>FOIL</t>
        </is>
      </c>
      <c r="F4" t="n">
        <v>0</v>
      </c>
    </row>
    <row r="5">
      <c r="A5" t="n">
        <v>4</v>
      </c>
      <c r="B5" t="inlineStr">
        <is>
          <t>FWC12</t>
        </is>
      </c>
      <c r="C5" t="inlineStr">
        <is>
          <t>Brazil 1962 - FIFA Museum FOIL</t>
        </is>
      </c>
      <c r="D5" t="inlineStr">
        <is>
          <t>FOIL</t>
        </is>
      </c>
      <c r="F5" t="n">
        <v>0</v>
      </c>
    </row>
    <row r="6">
      <c r="A6" t="n">
        <v>5</v>
      </c>
      <c r="B6" t="inlineStr">
        <is>
          <t>FWC13</t>
        </is>
      </c>
      <c r="C6" t="inlineStr">
        <is>
          <t>West Germany 1974 - FIFA Museum FOIL</t>
        </is>
      </c>
      <c r="D6" t="inlineStr">
        <is>
          <t>FOIL</t>
        </is>
      </c>
      <c r="F6" t="n">
        <v>0</v>
      </c>
    </row>
    <row r="7">
      <c r="A7" t="n">
        <v>6</v>
      </c>
      <c r="B7" t="inlineStr">
        <is>
          <t>FWC14</t>
        </is>
      </c>
      <c r="C7" t="inlineStr">
        <is>
          <t>Argentina 1986 - FIFA Museum FOIL</t>
        </is>
      </c>
      <c r="D7" t="inlineStr">
        <is>
          <t>FOIL</t>
        </is>
      </c>
      <c r="F7" t="n">
        <v>0</v>
      </c>
    </row>
    <row r="8">
      <c r="A8" t="n">
        <v>7</v>
      </c>
      <c r="B8" t="inlineStr">
        <is>
          <t>FWC15</t>
        </is>
      </c>
      <c r="C8" t="inlineStr">
        <is>
          <t>Brazil 1994 - FIFA Museum FOIL</t>
        </is>
      </c>
      <c r="D8" t="inlineStr">
        <is>
          <t>FOIL</t>
        </is>
      </c>
      <c r="F8" t="n">
        <v>0</v>
      </c>
    </row>
    <row r="9">
      <c r="A9" t="n">
        <v>8</v>
      </c>
      <c r="B9" t="inlineStr">
        <is>
          <t>FWC16</t>
        </is>
      </c>
      <c r="C9" t="inlineStr">
        <is>
          <t>Brazil 2002 - FIFA Museum FOIL</t>
        </is>
      </c>
      <c r="D9" t="inlineStr">
        <is>
          <t>FOIL</t>
        </is>
      </c>
      <c r="F9" t="n">
        <v>0</v>
      </c>
    </row>
    <row r="10">
      <c r="A10" t="n">
        <v>9</v>
      </c>
      <c r="B10" t="inlineStr">
        <is>
          <t>FWC17</t>
        </is>
      </c>
      <c r="C10" t="inlineStr">
        <is>
          <t>Italy 2006 - FIFA Museum FOIL</t>
        </is>
      </c>
      <c r="D10" t="inlineStr">
        <is>
          <t>FOIL</t>
        </is>
      </c>
      <c r="F10" t="n">
        <v>0</v>
      </c>
    </row>
    <row r="11">
      <c r="A11" t="n">
        <v>10</v>
      </c>
      <c r="B11" t="inlineStr">
        <is>
          <t>FWC18</t>
        </is>
      </c>
      <c r="C11" t="inlineStr">
        <is>
          <t>Germany 2014 - FIFA Museum FOIL</t>
        </is>
      </c>
      <c r="D11" t="inlineStr">
        <is>
          <t>FOIL</t>
        </is>
      </c>
      <c r="F11" t="n">
        <v>0</v>
      </c>
    </row>
    <row r="12">
      <c r="A12" t="n">
        <v>11</v>
      </c>
      <c r="B12" t="inlineStr">
        <is>
          <t>FWC19</t>
        </is>
      </c>
      <c r="C12" t="inlineStr">
        <is>
          <t>Argentina 2022 - FIFA Museum FOIL</t>
        </is>
      </c>
      <c r="D12" t="inlineStr">
        <is>
          <t>FOIL</t>
        </is>
      </c>
      <c r="F12" t="n">
        <v>0</v>
      </c>
    </row>
  </sheetData>
  <conditionalFormatting sqref="E2:E12">
    <cfRule type="expression" priority="1" dxfId="0">
      <formula>OR($E2="Sim",$E2="Yes")</formula>
    </cfRule>
    <cfRule type="expression" priority="2" dxfId="1">
      <formula>OR($E2="Não",$E2="No")</formula>
    </cfRule>
    <cfRule type="expression" priority="3" dxfId="2">
      <formula>OR($E2="Falta trocar",$E2="Need swap")</formula>
    </cfRule>
  </conditionalFormatting>
  <dataValidations count="1">
    <dataValidation sqref="E2:E12" showDropDown="0" showInputMessage="0" showErrorMessage="0" allowBlank="1" errorTitle="Lista" error="Escolha um valor da lista em Config." type="list">
      <formula1>Config!$D$1:$D$3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F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28" customHeight="1">
      <c r="A1" s="25" t="inlineStr">
        <is>
          <t>Promo</t>
        </is>
      </c>
      <c r="B1" s="25" t="inlineStr">
        <is>
          <t>Player</t>
        </is>
      </c>
      <c r="C1" s="25" t="inlineStr">
        <is>
          <t>Nation</t>
        </is>
      </c>
      <c r="D1" s="25" t="inlineStr">
        <is>
          <t>Source</t>
        </is>
      </c>
      <c r="E1" s="25" t="inlineStr">
        <is>
          <t>Status</t>
        </is>
      </c>
      <c r="F1" s="25" t="inlineStr">
        <is>
          <t>Dup</t>
        </is>
      </c>
    </row>
    <row r="2">
      <c r="A2" t="n">
        <v>1</v>
      </c>
      <c r="B2" t="inlineStr">
        <is>
          <t>Lamine Yamal</t>
        </is>
      </c>
      <c r="C2" t="inlineStr">
        <is>
          <t>Espanha</t>
        </is>
      </c>
      <c r="D2">
        <f>CHOOSE(MATCH(Config!$B$2,{"PT";"EN"},0),"Rótulo EUA","USA label")</f>
        <v/>
      </c>
      <c r="F2" t="n">
        <v>0</v>
      </c>
    </row>
    <row r="3">
      <c r="A3" t="n">
        <v>2</v>
      </c>
      <c r="B3" t="inlineStr">
        <is>
          <t>Joshua Kimmich</t>
        </is>
      </c>
      <c r="C3" t="inlineStr">
        <is>
          <t>Alemanha</t>
        </is>
      </c>
      <c r="D3">
        <f>CHOOSE(MATCH(Config!$B$2,{"PT";"EN"},0),"Rótulo EUA","USA label")</f>
        <v/>
      </c>
      <c r="F3" t="n">
        <v>0</v>
      </c>
    </row>
    <row r="4">
      <c r="A4" t="n">
        <v>3</v>
      </c>
      <c r="B4" t="inlineStr">
        <is>
          <t>Harry Kane</t>
        </is>
      </c>
      <c r="C4" t="inlineStr">
        <is>
          <t>Inglaterra</t>
        </is>
      </c>
      <c r="D4">
        <f>CHOOSE(MATCH(Config!$B$2,{"PT";"EN"},0),"Rótulo EUA","USA label")</f>
        <v/>
      </c>
      <c r="F4" t="n">
        <v>0</v>
      </c>
    </row>
    <row r="5">
      <c r="A5" t="n">
        <v>4</v>
      </c>
      <c r="B5" t="inlineStr">
        <is>
          <t>Santiago Giménez</t>
        </is>
      </c>
      <c r="C5" t="inlineStr">
        <is>
          <t>México</t>
        </is>
      </c>
      <c r="D5">
        <f>CHOOSE(MATCH(Config!$B$2,{"PT";"EN"},0),"Rótulo EUA","USA label")</f>
        <v/>
      </c>
      <c r="F5" t="n">
        <v>0</v>
      </c>
    </row>
    <row r="6">
      <c r="A6" t="n">
        <v>5</v>
      </c>
      <c r="B6" t="inlineStr">
        <is>
          <t>Antonee Robinson</t>
        </is>
      </c>
      <c r="C6" t="inlineStr">
        <is>
          <t>Estados Unidos</t>
        </is>
      </c>
      <c r="D6">
        <f>CHOOSE(MATCH(Config!$B$2,{"PT";"EN"},0),"Rótulo EUA","USA label")</f>
        <v/>
      </c>
      <c r="F6" t="n">
        <v>0</v>
      </c>
    </row>
    <row r="7">
      <c r="A7" t="n">
        <v>6</v>
      </c>
      <c r="B7" t="inlineStr">
        <is>
          <t>Jefferson Lerma</t>
        </is>
      </c>
      <c r="C7" t="inlineStr">
        <is>
          <t>Colômbia</t>
        </is>
      </c>
      <c r="D7">
        <f>CHOOSE(MATCH(Config!$B$2,{"PT";"EN"},0),"Rótulo EUA","USA label")</f>
        <v/>
      </c>
      <c r="F7" t="n">
        <v>0</v>
      </c>
    </row>
    <row r="8">
      <c r="A8" t="n">
        <v>7</v>
      </c>
      <c r="B8" t="inlineStr">
        <is>
          <t>Edson Álvarez</t>
        </is>
      </c>
      <c r="C8" t="inlineStr">
        <is>
          <t>México</t>
        </is>
      </c>
      <c r="D8">
        <f>CHOOSE(MATCH(Config!$B$2,{"PT";"EN"},0),"Rótulo EUA","USA label")</f>
        <v/>
      </c>
      <c r="F8" t="n">
        <v>0</v>
      </c>
    </row>
    <row r="9">
      <c r="A9" t="n">
        <v>8</v>
      </c>
      <c r="B9" t="inlineStr">
        <is>
          <t>Virgil van Dijk</t>
        </is>
      </c>
      <c r="C9" t="inlineStr">
        <is>
          <t>Países Baixos</t>
        </is>
      </c>
      <c r="D9">
        <f>CHOOSE(MATCH(Config!$B$2,{"PT";"EN"},0),"Rótulo EUA","USA label")</f>
        <v/>
      </c>
      <c r="F9" t="n">
        <v>0</v>
      </c>
    </row>
    <row r="10">
      <c r="A10" t="n">
        <v>9</v>
      </c>
      <c r="B10" t="inlineStr">
        <is>
          <t>Alphonso Davies</t>
        </is>
      </c>
      <c r="C10" t="inlineStr">
        <is>
          <t>Canadá</t>
        </is>
      </c>
      <c r="D10">
        <f>CHOOSE(MATCH(Config!$B$2,{"PT";"EN"},0),"Rótulo EUA","USA label")</f>
        <v/>
      </c>
      <c r="F10" t="n">
        <v>0</v>
      </c>
    </row>
    <row r="11">
      <c r="A11" t="n">
        <v>10</v>
      </c>
      <c r="B11" t="inlineStr">
        <is>
          <t>Weston McKennie</t>
        </is>
      </c>
      <c r="C11" t="inlineStr">
        <is>
          <t>Estados Unidos</t>
        </is>
      </c>
      <c r="D11">
        <f>CHOOSE(MATCH(Config!$B$2,{"PT";"EN"},0),"Rótulo EUA","USA label")</f>
        <v/>
      </c>
      <c r="F11" t="n">
        <v>0</v>
      </c>
    </row>
    <row r="12">
      <c r="A12" t="n">
        <v>11</v>
      </c>
      <c r="B12" t="inlineStr">
        <is>
          <t>Lautaro Martínez</t>
        </is>
      </c>
      <c r="C12" t="inlineStr">
        <is>
          <t>Argentina</t>
        </is>
      </c>
      <c r="D12">
        <f>CHOOSE(MATCH(Config!$B$2,{"PT";"EN"},0),"Rótulo EUA","USA label")</f>
        <v/>
      </c>
      <c r="F12" t="n">
        <v>0</v>
      </c>
    </row>
    <row r="13">
      <c r="A13" t="n">
        <v>12</v>
      </c>
      <c r="B13" t="inlineStr">
        <is>
          <t>Gabriel Magalhães</t>
        </is>
      </c>
      <c r="C13" t="inlineStr">
        <is>
          <t>Brasil</t>
        </is>
      </c>
      <c r="D13">
        <f>CHOOSE(MATCH(Config!$B$2,{"PT";"EN"},0),"Rótulo EUA","USA label")</f>
        <v/>
      </c>
      <c r="F13" t="n">
        <v>0</v>
      </c>
    </row>
  </sheetData>
  <conditionalFormatting sqref="E2:E13">
    <cfRule type="expression" priority="1" dxfId="0">
      <formula>OR($E2="Sim",$E2="Yes")</formula>
    </cfRule>
    <cfRule type="expression" priority="2" dxfId="1">
      <formula>OR($E2="Não",$E2="No")</formula>
    </cfRule>
    <cfRule type="expression" priority="3" dxfId="2">
      <formula>OR($E2="Falta trocar",$E2="Need swap")</formula>
    </cfRule>
  </conditionalFormatting>
  <dataValidations count="1">
    <dataValidation sqref="E2:E13" showDropDown="0" showInputMessage="0" showErrorMessage="0" allowBlank="1" errorTitle="Lista" error="Escolha um valor da lista em Config." type="list">
      <formula1>Config!$D$1:$D$3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A580C"/>
    <outlinePr summaryBelow="1" summaryRight="1"/>
    <pageSetUpPr/>
  </sheetPr>
  <dimension ref="A1:F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28" customHeight="1">
      <c r="A1" s="25" t="inlineStr">
        <is>
          <t>Idx</t>
        </is>
      </c>
      <c r="B1" s="25" t="inlineStr">
        <is>
          <t>Player</t>
        </is>
      </c>
      <c r="C1" s="25" t="inlineStr">
        <is>
          <t>Nation</t>
        </is>
      </c>
      <c r="D1" s="25" t="inlineStr">
        <is>
          <t>Notes</t>
        </is>
      </c>
      <c r="E1" s="25" t="inlineStr">
        <is>
          <t>Status</t>
        </is>
      </c>
      <c r="F1" s="25" t="inlineStr">
        <is>
          <t>Dup</t>
        </is>
      </c>
    </row>
    <row r="2">
      <c r="A2" t="n">
        <v>1</v>
      </c>
      <c r="B2" t="inlineStr">
        <is>
          <t>Achraf Hakimi</t>
        </is>
      </c>
      <c r="C2" t="inlineStr">
        <is>
          <t>Marrocos</t>
        </is>
      </c>
      <c r="D2">
        <f>CHOOSE(MATCH(Config!$B$2,{"PT";"EN"},0),"Extra internacional","International extra")</f>
        <v/>
      </c>
      <c r="F2" t="n">
        <v>0</v>
      </c>
    </row>
    <row r="3">
      <c r="A3" t="n">
        <v>2</v>
      </c>
      <c r="B3" t="inlineStr">
        <is>
          <t>Alphonso Davies</t>
        </is>
      </c>
      <c r="C3" t="inlineStr">
        <is>
          <t>Canadá</t>
        </is>
      </c>
      <c r="D3">
        <f>CHOOSE(MATCH(Config!$B$2,{"PT";"EN"},0),"Extra internacional","International extra")</f>
        <v/>
      </c>
      <c r="F3" t="n">
        <v>0</v>
      </c>
    </row>
    <row r="4">
      <c r="A4" t="n">
        <v>3</v>
      </c>
      <c r="B4" t="inlineStr">
        <is>
          <t>Christian Pulisic</t>
        </is>
      </c>
      <c r="C4" t="inlineStr">
        <is>
          <t>Estados Unidos</t>
        </is>
      </c>
      <c r="D4">
        <f>CHOOSE(MATCH(Config!$B$2,{"PT";"EN"},0),"Extra internacional","International extra")</f>
        <v/>
      </c>
      <c r="F4" t="n">
        <v>0</v>
      </c>
    </row>
    <row r="5">
      <c r="A5" t="n">
        <v>4</v>
      </c>
      <c r="B5" t="inlineStr">
        <is>
          <t>Cody Gakpo</t>
        </is>
      </c>
      <c r="C5" t="inlineStr">
        <is>
          <t>Países Baixos</t>
        </is>
      </c>
      <c r="D5">
        <f>CHOOSE(MATCH(Config!$B$2,{"PT";"EN"},0),"Extra internacional","International extra")</f>
        <v/>
      </c>
      <c r="F5" t="n">
        <v>0</v>
      </c>
    </row>
    <row r="6">
      <c r="A6" t="n">
        <v>5</v>
      </c>
      <c r="B6" t="inlineStr">
        <is>
          <t>Cristiano Ronaldo</t>
        </is>
      </c>
      <c r="C6" t="inlineStr">
        <is>
          <t>Portugal</t>
        </is>
      </c>
      <c r="D6">
        <f>CHOOSE(MATCH(Config!$B$2,{"PT";"EN"},0),"Extra internacional","International extra")</f>
        <v/>
      </c>
      <c r="F6" t="n">
        <v>0</v>
      </c>
    </row>
    <row r="7">
      <c r="A7" t="n">
        <v>6</v>
      </c>
      <c r="B7" t="inlineStr">
        <is>
          <t>Erling Haaland</t>
        </is>
      </c>
      <c r="C7" t="inlineStr">
        <is>
          <t>Noruega</t>
        </is>
      </c>
      <c r="D7">
        <f>CHOOSE(MATCH(Config!$B$2,{"PT";"EN"},0),"Extra internacional","International extra")</f>
        <v/>
      </c>
      <c r="F7" t="n">
        <v>0</v>
      </c>
    </row>
    <row r="8">
      <c r="A8" t="n">
        <v>7</v>
      </c>
      <c r="B8" t="inlineStr">
        <is>
          <t>Federico Valverde</t>
        </is>
      </c>
      <c r="C8" t="inlineStr">
        <is>
          <t>Uruguai</t>
        </is>
      </c>
      <c r="D8">
        <f>CHOOSE(MATCH(Config!$B$2,{"PT";"EN"},0),"Extra internacional","International extra")</f>
        <v/>
      </c>
      <c r="F8" t="n">
        <v>0</v>
      </c>
    </row>
    <row r="9">
      <c r="A9" t="n">
        <v>8</v>
      </c>
      <c r="B9" t="inlineStr">
        <is>
          <t>Florian Wirtz</t>
        </is>
      </c>
      <c r="C9" t="inlineStr">
        <is>
          <t>Alemanha</t>
        </is>
      </c>
      <c r="D9">
        <f>CHOOSE(MATCH(Config!$B$2,{"PT";"EN"},0),"Extra internacional","International extra")</f>
        <v/>
      </c>
      <c r="F9" t="n">
        <v>0</v>
      </c>
    </row>
    <row r="10">
      <c r="A10" t="n">
        <v>9</v>
      </c>
      <c r="B10" t="inlineStr">
        <is>
          <t>Heung-min Son</t>
        </is>
      </c>
      <c r="C10" t="inlineStr">
        <is>
          <t>Coreia do Sul</t>
        </is>
      </c>
      <c r="D10">
        <f>CHOOSE(MATCH(Config!$B$2,{"PT";"EN"},0),"Extra internacional","International extra")</f>
        <v/>
      </c>
      <c r="F10" t="n">
        <v>0</v>
      </c>
    </row>
    <row r="11">
      <c r="A11" t="n">
        <v>10</v>
      </c>
      <c r="B11" t="inlineStr">
        <is>
          <t>Jérémy Doku</t>
        </is>
      </c>
      <c r="C11" t="inlineStr">
        <is>
          <t>Bélgica</t>
        </is>
      </c>
      <c r="D11">
        <f>CHOOSE(MATCH(Config!$B$2,{"PT";"EN"},0),"Extra internacional","International extra")</f>
        <v/>
      </c>
      <c r="F11" t="n">
        <v>0</v>
      </c>
    </row>
    <row r="12">
      <c r="A12" t="n">
        <v>11</v>
      </c>
      <c r="B12" t="inlineStr">
        <is>
          <t>Jude Bellingham</t>
        </is>
      </c>
      <c r="C12" t="inlineStr">
        <is>
          <t>Inglaterra</t>
        </is>
      </c>
      <c r="D12">
        <f>CHOOSE(MATCH(Config!$B$2,{"PT";"EN"},0),"Extra internacional","International extra")</f>
        <v/>
      </c>
      <c r="F12" t="n">
        <v>0</v>
      </c>
    </row>
    <row r="13">
      <c r="A13" t="n">
        <v>12</v>
      </c>
      <c r="B13" t="inlineStr">
        <is>
          <t>Kylian Mbappé</t>
        </is>
      </c>
      <c r="C13" t="inlineStr">
        <is>
          <t>França</t>
        </is>
      </c>
      <c r="D13">
        <f>CHOOSE(MATCH(Config!$B$2,{"PT";"EN"},0),"Extra internacional","International extra")</f>
        <v/>
      </c>
      <c r="F13" t="n">
        <v>0</v>
      </c>
    </row>
    <row r="14">
      <c r="A14" t="n">
        <v>13</v>
      </c>
      <c r="B14" t="inlineStr">
        <is>
          <t>Lamine Yamal</t>
        </is>
      </c>
      <c r="C14" t="inlineStr">
        <is>
          <t>Espanha</t>
        </is>
      </c>
      <c r="D14">
        <f>CHOOSE(MATCH(Config!$B$2,{"PT";"EN"},0),"Extra internacional","International extra")</f>
        <v/>
      </c>
      <c r="F14" t="n">
        <v>0</v>
      </c>
    </row>
    <row r="15">
      <c r="A15" t="n">
        <v>14</v>
      </c>
      <c r="B15" t="inlineStr">
        <is>
          <t>Lionel Messi</t>
        </is>
      </c>
      <c r="C15" t="inlineStr">
        <is>
          <t>Argentina</t>
        </is>
      </c>
      <c r="D15">
        <f>CHOOSE(MATCH(Config!$B$2,{"PT";"EN"},0),"Extra internacional","International extra")</f>
        <v/>
      </c>
      <c r="F15" t="n">
        <v>0</v>
      </c>
    </row>
    <row r="16">
      <c r="A16" t="n">
        <v>15</v>
      </c>
      <c r="B16" t="inlineStr">
        <is>
          <t>Luis Díaz</t>
        </is>
      </c>
      <c r="C16" t="inlineStr">
        <is>
          <t>Colômbia</t>
        </is>
      </c>
      <c r="D16">
        <f>CHOOSE(MATCH(Config!$B$2,{"PT";"EN"},0),"Extra internacional","International extra")</f>
        <v/>
      </c>
      <c r="F16" t="n">
        <v>0</v>
      </c>
    </row>
    <row r="17">
      <c r="A17" t="n">
        <v>16</v>
      </c>
      <c r="B17" t="inlineStr">
        <is>
          <t>Luka Modrić</t>
        </is>
      </c>
      <c r="C17" t="inlineStr">
        <is>
          <t>Croácia</t>
        </is>
      </c>
      <c r="D17">
        <f>CHOOSE(MATCH(Config!$B$2,{"PT";"EN"},0),"Extra internacional","International extra")</f>
        <v/>
      </c>
      <c r="F17" t="n">
        <v>0</v>
      </c>
    </row>
    <row r="18">
      <c r="A18" t="n">
        <v>17</v>
      </c>
      <c r="B18" t="inlineStr">
        <is>
          <t>Mohamed Salah</t>
        </is>
      </c>
      <c r="C18" t="inlineStr">
        <is>
          <t>Egito</t>
        </is>
      </c>
      <c r="D18">
        <f>CHOOSE(MATCH(Config!$B$2,{"PT";"EN"},0),"Extra internacional","International extra")</f>
        <v/>
      </c>
      <c r="F18" t="n">
        <v>0</v>
      </c>
    </row>
    <row r="19">
      <c r="A19" t="n">
        <v>18</v>
      </c>
      <c r="B19" t="inlineStr">
        <is>
          <t>Moisés Caicedo</t>
        </is>
      </c>
      <c r="C19" t="inlineStr">
        <is>
          <t>Equador</t>
        </is>
      </c>
      <c r="D19">
        <f>CHOOSE(MATCH(Config!$B$2,{"PT";"EN"},0),"Extra internacional","International extra")</f>
        <v/>
      </c>
      <c r="F19" t="n">
        <v>0</v>
      </c>
    </row>
    <row r="20">
      <c r="A20" t="n">
        <v>19</v>
      </c>
      <c r="B20" t="inlineStr">
        <is>
          <t>Raúl Jiménez</t>
        </is>
      </c>
      <c r="C20" t="inlineStr">
        <is>
          <t>México</t>
        </is>
      </c>
      <c r="D20">
        <f>CHOOSE(MATCH(Config!$B$2,{"PT";"EN"},0),"Extra internacional","International extra")</f>
        <v/>
      </c>
      <c r="F20" t="n">
        <v>0</v>
      </c>
    </row>
    <row r="21">
      <c r="A21" t="n">
        <v>20</v>
      </c>
      <c r="B21" t="inlineStr">
        <is>
          <t>Vinícius Júnior</t>
        </is>
      </c>
      <c r="C21" t="inlineStr">
        <is>
          <t>Brasil</t>
        </is>
      </c>
      <c r="D21">
        <f>CHOOSE(MATCH(Config!$B$2,{"PT";"EN"},0),"Extra internacional","International extra")</f>
        <v/>
      </c>
      <c r="F21" t="n">
        <v>0</v>
      </c>
    </row>
  </sheetData>
  <conditionalFormatting sqref="E2:E21">
    <cfRule type="expression" priority="1" dxfId="0">
      <formula>OR($E2="Sim",$E2="Yes")</formula>
    </cfRule>
    <cfRule type="expression" priority="2" dxfId="1">
      <formula>OR($E2="Não",$E2="No")</formula>
    </cfRule>
    <cfRule type="expression" priority="3" dxfId="2">
      <formula>OR($E2="Falta trocar",$E2="Need swap")</formula>
    </cfRule>
  </conditionalFormatting>
  <dataValidations count="1">
    <dataValidation sqref="E2:E21" showDropDown="0" showInputMessage="0" showErrorMessage="0" allowBlank="1" errorTitle="Lista" error="Escolha um valor da lista em Config." type="list">
      <formula1>Config!$D$1:$D$3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8" customWidth="1" min="5" max="5"/>
  </cols>
  <sheetData>
    <row r="1" ht="28" customHeight="1">
      <c r="A1" s="25" t="inlineStr">
        <is>
          <t>FIFA</t>
        </is>
      </c>
      <c r="B1" s="25" t="inlineStr">
        <is>
          <t>Country</t>
        </is>
      </c>
      <c r="C1" s="25" t="inlineStr">
        <is>
          <t>Group</t>
        </is>
      </c>
      <c r="D1" s="25" t="inlineStr">
        <is>
          <t>Stickers</t>
        </is>
      </c>
      <c r="E1" s="25" t="inlineStr">
        <is>
          <t>Obs</t>
        </is>
      </c>
    </row>
    <row r="2">
      <c r="A2" t="inlineStr">
        <is>
          <t>MEX</t>
        </is>
      </c>
      <c r="B2" t="inlineStr">
        <is>
          <t>Mexico</t>
        </is>
      </c>
      <c r="C2" t="inlineStr">
        <is>
          <t>Grupo A</t>
        </is>
      </c>
      <c r="D2" t="n">
        <v>20</v>
      </c>
    </row>
    <row r="3">
      <c r="A3" t="inlineStr">
        <is>
          <t>RSA</t>
        </is>
      </c>
      <c r="B3" t="inlineStr">
        <is>
          <t>South Africa</t>
        </is>
      </c>
      <c r="C3" t="inlineStr">
        <is>
          <t>Grupo A</t>
        </is>
      </c>
      <c r="D3" t="n">
        <v>20</v>
      </c>
    </row>
    <row r="4">
      <c r="A4" t="inlineStr">
        <is>
          <t>KOR</t>
        </is>
      </c>
      <c r="B4" t="inlineStr">
        <is>
          <t>South Korea</t>
        </is>
      </c>
      <c r="C4" t="inlineStr">
        <is>
          <t>Grupo A</t>
        </is>
      </c>
      <c r="D4" t="n">
        <v>20</v>
      </c>
    </row>
    <row r="5">
      <c r="A5" t="inlineStr">
        <is>
          <t>CZE</t>
        </is>
      </c>
      <c r="B5" t="inlineStr">
        <is>
          <t>Czechia</t>
        </is>
      </c>
      <c r="C5" t="inlineStr">
        <is>
          <t>Grupo A</t>
        </is>
      </c>
      <c r="D5" t="n">
        <v>20</v>
      </c>
    </row>
    <row r="6">
      <c r="A6" t="inlineStr">
        <is>
          <t>CAN</t>
        </is>
      </c>
      <c r="B6" t="inlineStr">
        <is>
          <t>Canada</t>
        </is>
      </c>
      <c r="C6" t="inlineStr">
        <is>
          <t>Grupo B</t>
        </is>
      </c>
      <c r="D6" t="n">
        <v>20</v>
      </c>
    </row>
    <row r="7">
      <c r="A7" t="inlineStr">
        <is>
          <t>BIH</t>
        </is>
      </c>
      <c r="B7" t="inlineStr">
        <is>
          <t>Bosnia and Herzegovina</t>
        </is>
      </c>
      <c r="C7" t="inlineStr">
        <is>
          <t>Grupo B</t>
        </is>
      </c>
      <c r="D7" t="n">
        <v>20</v>
      </c>
    </row>
    <row r="8">
      <c r="A8" t="inlineStr">
        <is>
          <t>QAT</t>
        </is>
      </c>
      <c r="B8" t="inlineStr">
        <is>
          <t>Qatar</t>
        </is>
      </c>
      <c r="C8" t="inlineStr">
        <is>
          <t>Grupo B</t>
        </is>
      </c>
      <c r="D8" t="n">
        <v>20</v>
      </c>
    </row>
    <row r="9">
      <c r="A9" t="inlineStr">
        <is>
          <t>SUI</t>
        </is>
      </c>
      <c r="B9" t="inlineStr">
        <is>
          <t>Switzerland</t>
        </is>
      </c>
      <c r="C9" t="inlineStr">
        <is>
          <t>Grupo B</t>
        </is>
      </c>
      <c r="D9" t="n">
        <v>20</v>
      </c>
    </row>
    <row r="10">
      <c r="A10" t="inlineStr">
        <is>
          <t>BRA</t>
        </is>
      </c>
      <c r="B10" t="inlineStr">
        <is>
          <t>Brazil</t>
        </is>
      </c>
      <c r="C10" t="inlineStr">
        <is>
          <t>Grupo C</t>
        </is>
      </c>
      <c r="D10" t="n">
        <v>20</v>
      </c>
    </row>
    <row r="11">
      <c r="A11" t="inlineStr">
        <is>
          <t>MAR</t>
        </is>
      </c>
      <c r="B11" t="inlineStr">
        <is>
          <t>Morocco</t>
        </is>
      </c>
      <c r="C11" t="inlineStr">
        <is>
          <t>Grupo C</t>
        </is>
      </c>
      <c r="D11" t="n">
        <v>20</v>
      </c>
    </row>
    <row r="12">
      <c r="A12" t="inlineStr">
        <is>
          <t>HAI</t>
        </is>
      </c>
      <c r="B12" t="inlineStr">
        <is>
          <t>Haiti</t>
        </is>
      </c>
      <c r="C12" t="inlineStr">
        <is>
          <t>Grupo C</t>
        </is>
      </c>
      <c r="D12" t="n">
        <v>20</v>
      </c>
    </row>
    <row r="13">
      <c r="A13" t="inlineStr">
        <is>
          <t>SCO</t>
        </is>
      </c>
      <c r="B13" t="inlineStr">
        <is>
          <t>Scotland</t>
        </is>
      </c>
      <c r="C13" t="inlineStr">
        <is>
          <t>Grupo C</t>
        </is>
      </c>
      <c r="D13" t="n">
        <v>20</v>
      </c>
    </row>
    <row r="14">
      <c r="A14" t="inlineStr">
        <is>
          <t>USA</t>
        </is>
      </c>
      <c r="B14" t="inlineStr">
        <is>
          <t>USA</t>
        </is>
      </c>
      <c r="C14" t="inlineStr">
        <is>
          <t>Grupo D</t>
        </is>
      </c>
      <c r="D14" t="n">
        <v>20</v>
      </c>
    </row>
    <row r="15">
      <c r="A15" t="inlineStr">
        <is>
          <t>PAR</t>
        </is>
      </c>
      <c r="B15" t="inlineStr">
        <is>
          <t>Paraguay</t>
        </is>
      </c>
      <c r="C15" t="inlineStr">
        <is>
          <t>Grupo D</t>
        </is>
      </c>
      <c r="D15" t="n">
        <v>20</v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Grupo D</t>
        </is>
      </c>
      <c r="D16" t="n">
        <v>20</v>
      </c>
    </row>
    <row r="17">
      <c r="A17" t="inlineStr">
        <is>
          <t>TUR</t>
        </is>
      </c>
      <c r="B17" t="inlineStr">
        <is>
          <t>Türkiye</t>
        </is>
      </c>
      <c r="C17" t="inlineStr">
        <is>
          <t>Grupo D</t>
        </is>
      </c>
      <c r="D17" t="n">
        <v>20</v>
      </c>
    </row>
    <row r="18">
      <c r="A18" t="inlineStr">
        <is>
          <t>GER</t>
        </is>
      </c>
      <c r="B18" t="inlineStr">
        <is>
          <t>Germany</t>
        </is>
      </c>
      <c r="C18" t="inlineStr">
        <is>
          <t>Grupo E</t>
        </is>
      </c>
      <c r="D18" t="n">
        <v>20</v>
      </c>
    </row>
    <row r="19">
      <c r="A19" t="inlineStr">
        <is>
          <t>CUW</t>
        </is>
      </c>
      <c r="B19" t="inlineStr">
        <is>
          <t>Curaçao</t>
        </is>
      </c>
      <c r="C19" t="inlineStr">
        <is>
          <t>Grupo E</t>
        </is>
      </c>
      <c r="D19" t="n">
        <v>20</v>
      </c>
    </row>
    <row r="20">
      <c r="A20" t="inlineStr">
        <is>
          <t>CIV</t>
        </is>
      </c>
      <c r="B20" t="inlineStr">
        <is>
          <t>Ivory Coast</t>
        </is>
      </c>
      <c r="C20" t="inlineStr">
        <is>
          <t>Grupo E</t>
        </is>
      </c>
      <c r="D20" t="n">
        <v>20</v>
      </c>
    </row>
    <row r="21">
      <c r="A21" t="inlineStr">
        <is>
          <t>ECU</t>
        </is>
      </c>
      <c r="B21" t="inlineStr">
        <is>
          <t>Ecuador</t>
        </is>
      </c>
      <c r="C21" t="inlineStr">
        <is>
          <t>Grupo E</t>
        </is>
      </c>
      <c r="D21" t="n">
        <v>20</v>
      </c>
    </row>
    <row r="22">
      <c r="A22" t="inlineStr">
        <is>
          <t>NED</t>
        </is>
      </c>
      <c r="B22" t="inlineStr">
        <is>
          <t>Netherlands</t>
        </is>
      </c>
      <c r="C22" t="inlineStr">
        <is>
          <t>Grupo F</t>
        </is>
      </c>
      <c r="D22" t="n">
        <v>20</v>
      </c>
    </row>
    <row r="23">
      <c r="A23" t="inlineStr">
        <is>
          <t>JPN</t>
        </is>
      </c>
      <c r="B23" t="inlineStr">
        <is>
          <t>Japan</t>
        </is>
      </c>
      <c r="C23" t="inlineStr">
        <is>
          <t>Grupo F</t>
        </is>
      </c>
      <c r="D23" t="n">
        <v>20</v>
      </c>
    </row>
    <row r="24">
      <c r="A24" t="inlineStr">
        <is>
          <t>SWE</t>
        </is>
      </c>
      <c r="B24" t="inlineStr">
        <is>
          <t>Sweden</t>
        </is>
      </c>
      <c r="C24" t="inlineStr">
        <is>
          <t>Grupo F</t>
        </is>
      </c>
      <c r="D24" t="n">
        <v>20</v>
      </c>
    </row>
    <row r="25">
      <c r="A25" t="inlineStr">
        <is>
          <t>TUN</t>
        </is>
      </c>
      <c r="B25" t="inlineStr">
        <is>
          <t>Tunisia</t>
        </is>
      </c>
      <c r="C25" t="inlineStr">
        <is>
          <t>Grupo F</t>
        </is>
      </c>
      <c r="D25" t="n">
        <v>20</v>
      </c>
    </row>
    <row r="26">
      <c r="A26" t="inlineStr">
        <is>
          <t>BEL</t>
        </is>
      </c>
      <c r="B26" t="inlineStr">
        <is>
          <t>Belgium</t>
        </is>
      </c>
      <c r="C26" t="inlineStr">
        <is>
          <t>Grupo G</t>
        </is>
      </c>
      <c r="D26" t="n">
        <v>20</v>
      </c>
    </row>
    <row r="27">
      <c r="A27" t="inlineStr">
        <is>
          <t>EGY</t>
        </is>
      </c>
      <c r="B27" t="inlineStr">
        <is>
          <t>Egypt</t>
        </is>
      </c>
      <c r="C27" t="inlineStr">
        <is>
          <t>Grupo G</t>
        </is>
      </c>
      <c r="D27" t="n">
        <v>20</v>
      </c>
    </row>
    <row r="28">
      <c r="A28" t="inlineStr">
        <is>
          <t>IRN</t>
        </is>
      </c>
      <c r="B28" t="inlineStr">
        <is>
          <t>Iran</t>
        </is>
      </c>
      <c r="C28" t="inlineStr">
        <is>
          <t>Grupo G</t>
        </is>
      </c>
      <c r="D28" t="n">
        <v>20</v>
      </c>
    </row>
    <row r="29">
      <c r="A29" t="inlineStr">
        <is>
          <t>NZL</t>
        </is>
      </c>
      <c r="B29" t="inlineStr">
        <is>
          <t>New Zealand</t>
        </is>
      </c>
      <c r="C29" t="inlineStr">
        <is>
          <t>Grupo G</t>
        </is>
      </c>
      <c r="D29" t="n">
        <v>20</v>
      </c>
    </row>
    <row r="30">
      <c r="A30" t="inlineStr">
        <is>
          <t>ESP</t>
        </is>
      </c>
      <c r="B30" t="inlineStr">
        <is>
          <t>Spain</t>
        </is>
      </c>
      <c r="C30" t="inlineStr">
        <is>
          <t>Grupo H</t>
        </is>
      </c>
      <c r="D30" t="n">
        <v>20</v>
      </c>
    </row>
    <row r="31">
      <c r="A31" t="inlineStr">
        <is>
          <t>CPV</t>
        </is>
      </c>
      <c r="B31" t="inlineStr">
        <is>
          <t>Cape Verde</t>
        </is>
      </c>
      <c r="C31" t="inlineStr">
        <is>
          <t>Grupo H</t>
        </is>
      </c>
      <c r="D31" t="n">
        <v>20</v>
      </c>
    </row>
    <row r="32">
      <c r="A32" t="inlineStr">
        <is>
          <t>KSA</t>
        </is>
      </c>
      <c r="B32" t="inlineStr">
        <is>
          <t>Saudi Arabia</t>
        </is>
      </c>
      <c r="C32" t="inlineStr">
        <is>
          <t>Grupo H</t>
        </is>
      </c>
      <c r="D32" t="n">
        <v>20</v>
      </c>
    </row>
    <row r="33">
      <c r="A33" t="inlineStr">
        <is>
          <t>URU</t>
        </is>
      </c>
      <c r="B33" t="inlineStr">
        <is>
          <t>Uruguay</t>
        </is>
      </c>
      <c r="C33" t="inlineStr">
        <is>
          <t>Grupo H</t>
        </is>
      </c>
      <c r="D33" t="n">
        <v>20</v>
      </c>
    </row>
    <row r="34">
      <c r="A34" t="inlineStr">
        <is>
          <t>FRA</t>
        </is>
      </c>
      <c r="B34" t="inlineStr">
        <is>
          <t>France</t>
        </is>
      </c>
      <c r="C34" t="inlineStr">
        <is>
          <t>Grupo I</t>
        </is>
      </c>
      <c r="D34" t="n">
        <v>20</v>
      </c>
    </row>
    <row r="35">
      <c r="A35" t="inlineStr">
        <is>
          <t>SEN</t>
        </is>
      </c>
      <c r="B35" t="inlineStr">
        <is>
          <t>Senegal</t>
        </is>
      </c>
      <c r="C35" t="inlineStr">
        <is>
          <t>Grupo I</t>
        </is>
      </c>
      <c r="D35" t="n">
        <v>20</v>
      </c>
    </row>
    <row r="36">
      <c r="A36" t="inlineStr">
        <is>
          <t>IRQ</t>
        </is>
      </c>
      <c r="B36" t="inlineStr">
        <is>
          <t>Iraq</t>
        </is>
      </c>
      <c r="C36" t="inlineStr">
        <is>
          <t>Grupo I</t>
        </is>
      </c>
      <c r="D36" t="n">
        <v>20</v>
      </c>
    </row>
    <row r="37">
      <c r="A37" t="inlineStr">
        <is>
          <t>NOR</t>
        </is>
      </c>
      <c r="B37" t="inlineStr">
        <is>
          <t>Norway</t>
        </is>
      </c>
      <c r="C37" t="inlineStr">
        <is>
          <t>Grupo I</t>
        </is>
      </c>
      <c r="D37" t="n">
        <v>20</v>
      </c>
    </row>
    <row r="38">
      <c r="A38" t="inlineStr">
        <is>
          <t>ARG</t>
        </is>
      </c>
      <c r="B38" t="inlineStr">
        <is>
          <t>Argentina</t>
        </is>
      </c>
      <c r="C38" t="inlineStr">
        <is>
          <t>Grupo J</t>
        </is>
      </c>
      <c r="D38" t="n">
        <v>20</v>
      </c>
    </row>
    <row r="39">
      <c r="A39" t="inlineStr">
        <is>
          <t>ALG</t>
        </is>
      </c>
      <c r="B39" t="inlineStr">
        <is>
          <t>Algeria</t>
        </is>
      </c>
      <c r="C39" t="inlineStr">
        <is>
          <t>Grupo J</t>
        </is>
      </c>
      <c r="D39" t="n">
        <v>20</v>
      </c>
    </row>
    <row r="40">
      <c r="A40" t="inlineStr">
        <is>
          <t>AUT</t>
        </is>
      </c>
      <c r="B40" t="inlineStr">
        <is>
          <t>Austria</t>
        </is>
      </c>
      <c r="C40" t="inlineStr">
        <is>
          <t>Grupo J</t>
        </is>
      </c>
      <c r="D40" t="n">
        <v>20</v>
      </c>
    </row>
    <row r="41">
      <c r="A41" t="inlineStr">
        <is>
          <t>JOR</t>
        </is>
      </c>
      <c r="B41" t="inlineStr">
        <is>
          <t>Jordan</t>
        </is>
      </c>
      <c r="C41" t="inlineStr">
        <is>
          <t>Grupo J</t>
        </is>
      </c>
      <c r="D41" t="n">
        <v>20</v>
      </c>
    </row>
    <row r="42">
      <c r="A42" t="inlineStr">
        <is>
          <t>POR</t>
        </is>
      </c>
      <c r="B42" t="inlineStr">
        <is>
          <t>Portugal</t>
        </is>
      </c>
      <c r="C42" t="inlineStr">
        <is>
          <t>Grupo K</t>
        </is>
      </c>
      <c r="D42" t="n">
        <v>20</v>
      </c>
    </row>
    <row r="43">
      <c r="A43" t="inlineStr">
        <is>
          <t>COD</t>
        </is>
      </c>
      <c r="B43" t="inlineStr">
        <is>
          <t>Congo DR</t>
        </is>
      </c>
      <c r="C43" t="inlineStr">
        <is>
          <t>Grupo K</t>
        </is>
      </c>
      <c r="D43" t="n">
        <v>20</v>
      </c>
    </row>
    <row r="44">
      <c r="A44" t="inlineStr">
        <is>
          <t>UZB</t>
        </is>
      </c>
      <c r="B44" t="inlineStr">
        <is>
          <t>Uzbekistan</t>
        </is>
      </c>
      <c r="C44" t="inlineStr">
        <is>
          <t>Grupo K</t>
        </is>
      </c>
      <c r="D44" t="n">
        <v>20</v>
      </c>
    </row>
    <row r="45">
      <c r="A45" t="inlineStr">
        <is>
          <t>COL</t>
        </is>
      </c>
      <c r="B45" t="inlineStr">
        <is>
          <t>Colombia</t>
        </is>
      </c>
      <c r="C45" t="inlineStr">
        <is>
          <t>Grupo K</t>
        </is>
      </c>
      <c r="D45" t="n">
        <v>20</v>
      </c>
    </row>
    <row r="46">
      <c r="A46" t="inlineStr">
        <is>
          <t>ENG</t>
        </is>
      </c>
      <c r="B46" t="inlineStr">
        <is>
          <t>England</t>
        </is>
      </c>
      <c r="C46" t="inlineStr">
        <is>
          <t>Grupo L</t>
        </is>
      </c>
      <c r="D46" t="n">
        <v>20</v>
      </c>
    </row>
    <row r="47">
      <c r="A47" t="inlineStr">
        <is>
          <t>CRO</t>
        </is>
      </c>
      <c r="B47" t="inlineStr">
        <is>
          <t>Croatia</t>
        </is>
      </c>
      <c r="C47" t="inlineStr">
        <is>
          <t>Grupo L</t>
        </is>
      </c>
      <c r="D47" t="n">
        <v>20</v>
      </c>
    </row>
    <row r="48">
      <c r="A48" t="inlineStr">
        <is>
          <t>GHA</t>
        </is>
      </c>
      <c r="B48" t="inlineStr">
        <is>
          <t>Ghana</t>
        </is>
      </c>
      <c r="C48" t="inlineStr">
        <is>
          <t>Grupo L</t>
        </is>
      </c>
      <c r="D48" t="n">
        <v>20</v>
      </c>
    </row>
    <row r="49">
      <c r="A49" t="inlineStr">
        <is>
          <t>PAN</t>
        </is>
      </c>
      <c r="B49" t="inlineStr">
        <is>
          <t>Panama</t>
        </is>
      </c>
      <c r="C49" t="inlineStr">
        <is>
          <t>Grupo L</t>
        </is>
      </c>
      <c r="D49" t="n">
        <v>20</v>
      </c>
    </row>
  </sheetData>
  <autoFilter ref="A1:E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75569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30" customWidth="1" min="3" max="3"/>
    <col width="20" customWidth="1" min="4" max="4"/>
    <col width="19" customWidth="1" min="5" max="5"/>
  </cols>
  <sheetData>
    <row r="1" ht="28" customHeight="1">
      <c r="A1" s="25" t="inlineStr">
        <is>
          <t>Group</t>
        </is>
      </c>
      <c r="B1" s="25" t="inlineStr">
        <is>
          <t>T1</t>
        </is>
      </c>
      <c r="C1" s="25" t="inlineStr">
        <is>
          <t>T2</t>
        </is>
      </c>
      <c r="D1" s="25" t="inlineStr">
        <is>
          <t>T3</t>
        </is>
      </c>
      <c r="E1" s="25" t="inlineStr">
        <is>
          <t>T4</t>
        </is>
      </c>
    </row>
    <row r="2">
      <c r="A2" t="inlineStr">
        <is>
          <t>Grupo A</t>
        </is>
      </c>
      <c r="B2" t="inlineStr">
        <is>
          <t>Mexico (MEX)</t>
        </is>
      </c>
      <c r="C2" t="inlineStr">
        <is>
          <t>South Africa (RSA)</t>
        </is>
      </c>
      <c r="D2" t="inlineStr">
        <is>
          <t>South Korea (KOR)</t>
        </is>
      </c>
      <c r="E2" t="inlineStr">
        <is>
          <t>Czechia (CZE)</t>
        </is>
      </c>
    </row>
    <row r="3">
      <c r="A3" t="inlineStr">
        <is>
          <t>Grupo B</t>
        </is>
      </c>
      <c r="B3" t="inlineStr">
        <is>
          <t>Canada (CAN)</t>
        </is>
      </c>
      <c r="C3" t="inlineStr">
        <is>
          <t>Bosnia and Herzegovina (BIH)</t>
        </is>
      </c>
      <c r="D3" t="inlineStr">
        <is>
          <t>Qatar (QAT)</t>
        </is>
      </c>
      <c r="E3" t="inlineStr">
        <is>
          <t>Switzerland (SUI)</t>
        </is>
      </c>
    </row>
    <row r="4">
      <c r="A4" t="inlineStr">
        <is>
          <t>Grupo C</t>
        </is>
      </c>
      <c r="B4" t="inlineStr">
        <is>
          <t>Brazil (BRA)</t>
        </is>
      </c>
      <c r="C4" t="inlineStr">
        <is>
          <t>Morocco (MAR)</t>
        </is>
      </c>
      <c r="D4" t="inlineStr">
        <is>
          <t>Haiti (HAI)</t>
        </is>
      </c>
      <c r="E4" t="inlineStr">
        <is>
          <t>Scotland (SCO)</t>
        </is>
      </c>
    </row>
    <row r="5">
      <c r="A5" t="inlineStr">
        <is>
          <t>Grupo D</t>
        </is>
      </c>
      <c r="B5" t="inlineStr">
        <is>
          <t>USA (USA)</t>
        </is>
      </c>
      <c r="C5" t="inlineStr">
        <is>
          <t>Paraguay (PAR)</t>
        </is>
      </c>
      <c r="D5" t="inlineStr">
        <is>
          <t>Australia (AUS)</t>
        </is>
      </c>
      <c r="E5" t="inlineStr">
        <is>
          <t>Türkiye (TUR)</t>
        </is>
      </c>
    </row>
    <row r="6">
      <c r="A6" t="inlineStr">
        <is>
          <t>Grupo E</t>
        </is>
      </c>
      <c r="B6" t="inlineStr">
        <is>
          <t>Germany (GER)</t>
        </is>
      </c>
      <c r="C6" t="inlineStr">
        <is>
          <t>Curaçao (CUW)</t>
        </is>
      </c>
      <c r="D6" t="inlineStr">
        <is>
          <t>Ivory Coast (CIV)</t>
        </is>
      </c>
      <c r="E6" t="inlineStr">
        <is>
          <t>Ecuador (ECU)</t>
        </is>
      </c>
    </row>
    <row r="7">
      <c r="A7" t="inlineStr">
        <is>
          <t>Grupo F</t>
        </is>
      </c>
      <c r="B7" t="inlineStr">
        <is>
          <t>Netherlands (NED)</t>
        </is>
      </c>
      <c r="C7" t="inlineStr">
        <is>
          <t>Japan (JPN)</t>
        </is>
      </c>
      <c r="D7" t="inlineStr">
        <is>
          <t>Sweden (SWE)</t>
        </is>
      </c>
      <c r="E7" t="inlineStr">
        <is>
          <t>Tunisia (TUN)</t>
        </is>
      </c>
    </row>
    <row r="8">
      <c r="A8" t="inlineStr">
        <is>
          <t>Grupo G</t>
        </is>
      </c>
      <c r="B8" t="inlineStr">
        <is>
          <t>Belgium (BEL)</t>
        </is>
      </c>
      <c r="C8" t="inlineStr">
        <is>
          <t>Egypt (EGY)</t>
        </is>
      </c>
      <c r="D8" t="inlineStr">
        <is>
          <t>Iran (IRN)</t>
        </is>
      </c>
      <c r="E8" t="inlineStr">
        <is>
          <t>New Zealand (NZL)</t>
        </is>
      </c>
    </row>
    <row r="9">
      <c r="A9" t="inlineStr">
        <is>
          <t>Grupo H</t>
        </is>
      </c>
      <c r="B9" t="inlineStr">
        <is>
          <t>Spain (ESP)</t>
        </is>
      </c>
      <c r="C9" t="inlineStr">
        <is>
          <t>Cape Verde (CPV)</t>
        </is>
      </c>
      <c r="D9" t="inlineStr">
        <is>
          <t>Saudi Arabia (KSA)</t>
        </is>
      </c>
      <c r="E9" t="inlineStr">
        <is>
          <t>Uruguay (URU)</t>
        </is>
      </c>
    </row>
    <row r="10">
      <c r="A10" t="inlineStr">
        <is>
          <t>Grupo I</t>
        </is>
      </c>
      <c r="B10" t="inlineStr">
        <is>
          <t>France (FRA)</t>
        </is>
      </c>
      <c r="C10" t="inlineStr">
        <is>
          <t>Senegal (SEN)</t>
        </is>
      </c>
      <c r="D10" t="inlineStr">
        <is>
          <t>Iraq (IRQ)</t>
        </is>
      </c>
      <c r="E10" t="inlineStr">
        <is>
          <t>Norway (NOR)</t>
        </is>
      </c>
    </row>
    <row r="11">
      <c r="A11" t="inlineStr">
        <is>
          <t>Grupo J</t>
        </is>
      </c>
      <c r="B11" t="inlineStr">
        <is>
          <t>Argentina (ARG)</t>
        </is>
      </c>
      <c r="C11" t="inlineStr">
        <is>
          <t>Algeria (ALG)</t>
        </is>
      </c>
      <c r="D11" t="inlineStr">
        <is>
          <t>Austria (AUT)</t>
        </is>
      </c>
      <c r="E11" t="inlineStr">
        <is>
          <t>Jordan (JOR)</t>
        </is>
      </c>
    </row>
    <row r="12">
      <c r="A12" t="inlineStr">
        <is>
          <t>Grupo K</t>
        </is>
      </c>
      <c r="B12" t="inlineStr">
        <is>
          <t>Portugal (POR)</t>
        </is>
      </c>
      <c r="C12" t="inlineStr">
        <is>
          <t>Congo DR (COD)</t>
        </is>
      </c>
      <c r="D12" t="inlineStr">
        <is>
          <t>Uzbekistan (UZB)</t>
        </is>
      </c>
      <c r="E12" t="inlineStr">
        <is>
          <t>Colombia (COL)</t>
        </is>
      </c>
    </row>
    <row r="13">
      <c r="A13" t="inlineStr">
        <is>
          <t>Grupo L</t>
        </is>
      </c>
      <c r="B13" t="inlineStr">
        <is>
          <t>England (ENG)</t>
        </is>
      </c>
      <c r="C13" t="inlineStr">
        <is>
          <t>Croatia (CRO)</t>
        </is>
      </c>
      <c r="D13" t="inlineStr">
        <is>
          <t>Ghana (GHA)</t>
        </is>
      </c>
      <c r="E13" t="inlineStr">
        <is>
          <t>Panama (PAN)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369A1"/>
    <outlinePr summaryBelow="1" summaryRight="1"/>
    <pageSetUpPr/>
  </sheetPr>
  <dimension ref="A1:I9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" customWidth="1" min="2" max="2"/>
    <col width="8" customWidth="1" min="3" max="3"/>
    <col width="24" customWidth="1" min="4" max="4"/>
    <col width="8" customWidth="1" min="5" max="5"/>
    <col width="46" customWidth="1" min="6" max="6"/>
    <col width="8" customWidth="1" min="7" max="7"/>
    <col width="8" customWidth="1" min="8" max="8"/>
    <col width="8" customWidth="1" min="9" max="9"/>
  </cols>
  <sheetData>
    <row r="1" ht="28" customHeight="1">
      <c r="A1" s="25" t="inlineStr">
        <is>
          <t>Section</t>
        </is>
      </c>
      <c r="B1" s="25" t="inlineStr">
        <is>
          <t>Group</t>
        </is>
      </c>
      <c r="C1" s="25" t="inlineStr">
        <is>
          <t>Abbr</t>
        </is>
      </c>
      <c r="D1" s="25" t="inlineStr">
        <is>
          <t>Nation</t>
        </is>
      </c>
      <c r="E1" s="25" t="inlineStr">
        <is>
          <t>Code</t>
        </is>
      </c>
      <c r="F1" s="25" t="inlineStr">
        <is>
          <t>Sticker</t>
        </is>
      </c>
      <c r="G1" s="25" t="inlineStr">
        <is>
          <t>Type</t>
        </is>
      </c>
      <c r="H1" s="25" t="inlineStr">
        <is>
          <t>Status</t>
        </is>
      </c>
      <c r="I1" s="25" t="inlineStr">
        <is>
          <t>Dup</t>
        </is>
      </c>
    </row>
    <row r="2">
      <c r="A2">
        <f>CHOOSE(MATCH(Config!$B$2,{"PT";"EN"},0),"Página inicial","Intro")</f>
        <v/>
      </c>
      <c r="E2" t="inlineStr">
        <is>
          <t>00</t>
        </is>
      </c>
      <c r="F2" t="inlineStr">
        <is>
          <t>Panini Logo FOIL</t>
        </is>
      </c>
      <c r="G2" t="inlineStr">
        <is>
          <t>FOIL</t>
        </is>
      </c>
      <c r="I2" t="n">
        <v>0</v>
      </c>
    </row>
    <row r="3">
      <c r="A3">
        <f>CHOOSE(MATCH(Config!$B$2,{"PT";"EN"},0),"Página inicial","Intro")</f>
        <v/>
      </c>
      <c r="E3" t="inlineStr">
        <is>
          <t>FWC1</t>
        </is>
      </c>
      <c r="F3" t="inlineStr">
        <is>
          <t>Official Emblem FOIL</t>
        </is>
      </c>
      <c r="G3" t="inlineStr">
        <is>
          <t>FOIL</t>
        </is>
      </c>
      <c r="I3" t="n">
        <v>0</v>
      </c>
    </row>
    <row r="4">
      <c r="A4">
        <f>CHOOSE(MATCH(Config!$B$2,{"PT";"EN"},0),"Página inicial","Intro")</f>
        <v/>
      </c>
      <c r="E4" t="inlineStr">
        <is>
          <t>FWC2</t>
        </is>
      </c>
      <c r="F4" t="inlineStr">
        <is>
          <t>Official Emblem FOIL</t>
        </is>
      </c>
      <c r="G4" t="inlineStr">
        <is>
          <t>FOIL</t>
        </is>
      </c>
      <c r="I4" t="n">
        <v>0</v>
      </c>
    </row>
    <row r="5">
      <c r="A5">
        <f>CHOOSE(MATCH(Config!$B$2,{"PT";"EN"},0),"Página inicial","Intro")</f>
        <v/>
      </c>
      <c r="E5" t="inlineStr">
        <is>
          <t>FWC3</t>
        </is>
      </c>
      <c r="F5" t="inlineStr">
        <is>
          <t>Official Mascots FOIL</t>
        </is>
      </c>
      <c r="G5" t="inlineStr">
        <is>
          <t>FOIL</t>
        </is>
      </c>
      <c r="I5" t="n">
        <v>0</v>
      </c>
    </row>
    <row r="6">
      <c r="A6">
        <f>CHOOSE(MATCH(Config!$B$2,{"PT";"EN"},0),"Página inicial","Intro")</f>
        <v/>
      </c>
      <c r="E6" t="inlineStr">
        <is>
          <t>FWC4</t>
        </is>
      </c>
      <c r="F6" t="inlineStr">
        <is>
          <t>Official Slogan FOIL</t>
        </is>
      </c>
      <c r="G6" t="inlineStr">
        <is>
          <t>FOIL</t>
        </is>
      </c>
      <c r="I6" t="n">
        <v>0</v>
      </c>
    </row>
    <row r="7">
      <c r="A7">
        <f>CHOOSE(MATCH(Config!$B$2,{"PT";"EN"},0),"Página inicial","Intro")</f>
        <v/>
      </c>
      <c r="E7" t="inlineStr">
        <is>
          <t>FWC5</t>
        </is>
      </c>
      <c r="F7" t="inlineStr">
        <is>
          <t>Official Ball FOIL</t>
        </is>
      </c>
      <c r="G7" t="inlineStr">
        <is>
          <t>FOIL</t>
        </is>
      </c>
      <c r="I7" t="n">
        <v>0</v>
      </c>
    </row>
    <row r="8">
      <c r="A8">
        <f>CHOOSE(MATCH(Config!$B$2,{"PT";"EN"},0),"Página inicial","Intro")</f>
        <v/>
      </c>
      <c r="E8" t="inlineStr">
        <is>
          <t>FWC6</t>
        </is>
      </c>
      <c r="F8" t="inlineStr">
        <is>
          <t>Canada - Host Countries &amp; Cities FOIL</t>
        </is>
      </c>
      <c r="G8" t="inlineStr">
        <is>
          <t>FOIL</t>
        </is>
      </c>
      <c r="I8" t="n">
        <v>0</v>
      </c>
    </row>
    <row r="9">
      <c r="A9">
        <f>CHOOSE(MATCH(Config!$B$2,{"PT";"EN"},0),"Página inicial","Intro")</f>
        <v/>
      </c>
      <c r="E9" t="inlineStr">
        <is>
          <t>FWC7</t>
        </is>
      </c>
      <c r="F9" t="inlineStr">
        <is>
          <t>Mexico - Host Countries &amp; Cities FOIL</t>
        </is>
      </c>
      <c r="G9" t="inlineStr">
        <is>
          <t>FOIL</t>
        </is>
      </c>
      <c r="I9" t="n">
        <v>0</v>
      </c>
    </row>
    <row r="10">
      <c r="A10">
        <f>CHOOSE(MATCH(Config!$B$2,{"PT";"EN"},0),"Página inicial","Intro")</f>
        <v/>
      </c>
      <c r="E10" t="inlineStr">
        <is>
          <t>FWC8</t>
        </is>
      </c>
      <c r="F10" t="inlineStr">
        <is>
          <t>USA - Host Countries &amp; Cities FOIL</t>
        </is>
      </c>
      <c r="G10" t="inlineStr">
        <is>
          <t>FOIL</t>
        </is>
      </c>
      <c r="I10" t="n">
        <v>0</v>
      </c>
    </row>
    <row r="11">
      <c r="A11">
        <f>CHOOSE(MATCH(Config!$B$2,{"PT";"EN"},0),"Seleção","Team")</f>
        <v/>
      </c>
      <c r="B11" t="inlineStr">
        <is>
          <t>Grupo A</t>
        </is>
      </c>
      <c r="C11" t="inlineStr">
        <is>
          <t>MEX</t>
        </is>
      </c>
      <c r="D11" t="inlineStr">
        <is>
          <t>Mexico</t>
        </is>
      </c>
      <c r="E11" t="inlineStr">
        <is>
          <t>MEX1</t>
        </is>
      </c>
      <c r="F11" t="inlineStr">
        <is>
          <t>Team Logo - Mexico FOIL</t>
        </is>
      </c>
      <c r="G11" t="inlineStr">
        <is>
          <t>FOIL</t>
        </is>
      </c>
      <c r="I11" t="n">
        <v>0</v>
      </c>
    </row>
    <row r="12">
      <c r="A12">
        <f>CHOOSE(MATCH(Config!$B$2,{"PT";"EN"},0),"Seleção","Team")</f>
        <v/>
      </c>
      <c r="B12" t="inlineStr">
        <is>
          <t>Grupo A</t>
        </is>
      </c>
      <c r="C12" t="inlineStr">
        <is>
          <t>MEX</t>
        </is>
      </c>
      <c r="D12" t="inlineStr">
        <is>
          <t>Mexico</t>
        </is>
      </c>
      <c r="E12" t="inlineStr">
        <is>
          <t>MEX2</t>
        </is>
      </c>
      <c r="F12" t="inlineStr">
        <is>
          <t>Luis Malagón - Mexico</t>
        </is>
      </c>
      <c r="G12" t="inlineStr">
        <is>
          <t>Base</t>
        </is>
      </c>
      <c r="I12" t="n">
        <v>0</v>
      </c>
    </row>
    <row r="13">
      <c r="A13">
        <f>CHOOSE(MATCH(Config!$B$2,{"PT";"EN"},0),"Seleção","Team")</f>
        <v/>
      </c>
      <c r="B13" t="inlineStr">
        <is>
          <t>Grupo A</t>
        </is>
      </c>
      <c r="C13" t="inlineStr">
        <is>
          <t>MEX</t>
        </is>
      </c>
      <c r="D13" t="inlineStr">
        <is>
          <t>Mexico</t>
        </is>
      </c>
      <c r="E13" t="inlineStr">
        <is>
          <t>MEX3</t>
        </is>
      </c>
      <c r="F13" t="inlineStr">
        <is>
          <t>Johan Vasquez - Mexico</t>
        </is>
      </c>
      <c r="G13" t="inlineStr">
        <is>
          <t>Base</t>
        </is>
      </c>
      <c r="I13" t="n">
        <v>0</v>
      </c>
    </row>
    <row r="14">
      <c r="A14">
        <f>CHOOSE(MATCH(Config!$B$2,{"PT";"EN"},0),"Seleção","Team")</f>
        <v/>
      </c>
      <c r="B14" t="inlineStr">
        <is>
          <t>Grupo A</t>
        </is>
      </c>
      <c r="C14" t="inlineStr">
        <is>
          <t>MEX</t>
        </is>
      </c>
      <c r="D14" t="inlineStr">
        <is>
          <t>Mexico</t>
        </is>
      </c>
      <c r="E14" t="inlineStr">
        <is>
          <t>MEX4</t>
        </is>
      </c>
      <c r="F14" t="inlineStr">
        <is>
          <t>Jorge Sánchez - Mexico</t>
        </is>
      </c>
      <c r="G14" t="inlineStr">
        <is>
          <t>Base</t>
        </is>
      </c>
      <c r="I14" t="n">
        <v>0</v>
      </c>
    </row>
    <row r="15">
      <c r="A15">
        <f>CHOOSE(MATCH(Config!$B$2,{"PT";"EN"},0),"Seleção","Team")</f>
        <v/>
      </c>
      <c r="B15" t="inlineStr">
        <is>
          <t>Grupo A</t>
        </is>
      </c>
      <c r="C15" t="inlineStr">
        <is>
          <t>MEX</t>
        </is>
      </c>
      <c r="D15" t="inlineStr">
        <is>
          <t>Mexico</t>
        </is>
      </c>
      <c r="E15" t="inlineStr">
        <is>
          <t>MEX5</t>
        </is>
      </c>
      <c r="F15" t="inlineStr">
        <is>
          <t>Cesar Montes - Mexico</t>
        </is>
      </c>
      <c r="G15" t="inlineStr">
        <is>
          <t>Base</t>
        </is>
      </c>
      <c r="I15" t="n">
        <v>0</v>
      </c>
    </row>
    <row r="16">
      <c r="A16">
        <f>CHOOSE(MATCH(Config!$B$2,{"PT";"EN"},0),"Seleção","Team")</f>
        <v/>
      </c>
      <c r="B16" t="inlineStr">
        <is>
          <t>Grupo A</t>
        </is>
      </c>
      <c r="C16" t="inlineStr">
        <is>
          <t>MEX</t>
        </is>
      </c>
      <c r="D16" t="inlineStr">
        <is>
          <t>Mexico</t>
        </is>
      </c>
      <c r="E16" t="inlineStr">
        <is>
          <t>MEX6</t>
        </is>
      </c>
      <c r="F16" t="inlineStr">
        <is>
          <t>Jesus Gallardo - Mexico</t>
        </is>
      </c>
      <c r="G16" t="inlineStr">
        <is>
          <t>Base</t>
        </is>
      </c>
      <c r="I16" t="n">
        <v>0</v>
      </c>
    </row>
    <row r="17">
      <c r="A17">
        <f>CHOOSE(MATCH(Config!$B$2,{"PT";"EN"},0),"Seleção","Team")</f>
        <v/>
      </c>
      <c r="B17" t="inlineStr">
        <is>
          <t>Grupo A</t>
        </is>
      </c>
      <c r="C17" t="inlineStr">
        <is>
          <t>MEX</t>
        </is>
      </c>
      <c r="D17" t="inlineStr">
        <is>
          <t>Mexico</t>
        </is>
      </c>
      <c r="E17" t="inlineStr">
        <is>
          <t>MEX7</t>
        </is>
      </c>
      <c r="F17" t="inlineStr">
        <is>
          <t>Israel Reyes - Mexico</t>
        </is>
      </c>
      <c r="G17" t="inlineStr">
        <is>
          <t>Base</t>
        </is>
      </c>
      <c r="I17" t="n">
        <v>0</v>
      </c>
    </row>
    <row r="18">
      <c r="A18">
        <f>CHOOSE(MATCH(Config!$B$2,{"PT";"EN"},0),"Seleção","Team")</f>
        <v/>
      </c>
      <c r="B18" t="inlineStr">
        <is>
          <t>Grupo A</t>
        </is>
      </c>
      <c r="C18" t="inlineStr">
        <is>
          <t>MEX</t>
        </is>
      </c>
      <c r="D18" t="inlineStr">
        <is>
          <t>Mexico</t>
        </is>
      </c>
      <c r="E18" t="inlineStr">
        <is>
          <t>MEX8</t>
        </is>
      </c>
      <c r="F18" t="inlineStr">
        <is>
          <t>Diego Lainez - Mexico</t>
        </is>
      </c>
      <c r="G18" t="inlineStr">
        <is>
          <t>Base</t>
        </is>
      </c>
      <c r="I18" t="n">
        <v>0</v>
      </c>
    </row>
    <row r="19">
      <c r="A19">
        <f>CHOOSE(MATCH(Config!$B$2,{"PT";"EN"},0),"Seleção","Team")</f>
        <v/>
      </c>
      <c r="B19" t="inlineStr">
        <is>
          <t>Grupo A</t>
        </is>
      </c>
      <c r="C19" t="inlineStr">
        <is>
          <t>MEX</t>
        </is>
      </c>
      <c r="D19" t="inlineStr">
        <is>
          <t>Mexico</t>
        </is>
      </c>
      <c r="E19" t="inlineStr">
        <is>
          <t>MEX9</t>
        </is>
      </c>
      <c r="F19" t="inlineStr">
        <is>
          <t>Carlos Rodriguez - Mexico</t>
        </is>
      </c>
      <c r="G19" t="inlineStr">
        <is>
          <t>Base</t>
        </is>
      </c>
      <c r="I19" t="n">
        <v>0</v>
      </c>
    </row>
    <row r="20">
      <c r="A20">
        <f>CHOOSE(MATCH(Config!$B$2,{"PT";"EN"},0),"Seleção","Team")</f>
        <v/>
      </c>
      <c r="B20" t="inlineStr">
        <is>
          <t>Grupo A</t>
        </is>
      </c>
      <c r="C20" t="inlineStr">
        <is>
          <t>MEX</t>
        </is>
      </c>
      <c r="D20" t="inlineStr">
        <is>
          <t>Mexico</t>
        </is>
      </c>
      <c r="E20" t="inlineStr">
        <is>
          <t>MEX10</t>
        </is>
      </c>
      <c r="F20" t="inlineStr">
        <is>
          <t>Edson Alvarez - Mexico</t>
        </is>
      </c>
      <c r="G20" t="inlineStr">
        <is>
          <t>Base</t>
        </is>
      </c>
      <c r="I20" t="n">
        <v>0</v>
      </c>
    </row>
    <row r="21">
      <c r="A21">
        <f>CHOOSE(MATCH(Config!$B$2,{"PT";"EN"},0),"Seleção","Team")</f>
        <v/>
      </c>
      <c r="B21" t="inlineStr">
        <is>
          <t>Grupo A</t>
        </is>
      </c>
      <c r="C21" t="inlineStr">
        <is>
          <t>MEX</t>
        </is>
      </c>
      <c r="D21" t="inlineStr">
        <is>
          <t>Mexico</t>
        </is>
      </c>
      <c r="E21" t="inlineStr">
        <is>
          <t>MEX11</t>
        </is>
      </c>
      <c r="F21" t="inlineStr">
        <is>
          <t>Orbelin Pineda - Mexico</t>
        </is>
      </c>
      <c r="G21" t="inlineStr">
        <is>
          <t>Base</t>
        </is>
      </c>
      <c r="I21" t="n">
        <v>0</v>
      </c>
    </row>
    <row r="22">
      <c r="A22">
        <f>CHOOSE(MATCH(Config!$B$2,{"PT";"EN"},0),"Seleção","Team")</f>
        <v/>
      </c>
      <c r="B22" t="inlineStr">
        <is>
          <t>Grupo A</t>
        </is>
      </c>
      <c r="C22" t="inlineStr">
        <is>
          <t>MEX</t>
        </is>
      </c>
      <c r="D22" t="inlineStr">
        <is>
          <t>Mexico</t>
        </is>
      </c>
      <c r="E22" t="inlineStr">
        <is>
          <t>MEX12</t>
        </is>
      </c>
      <c r="F22" t="inlineStr">
        <is>
          <t>Marcel Ruiz - Mexico</t>
        </is>
      </c>
      <c r="G22" t="inlineStr">
        <is>
          <t>Base</t>
        </is>
      </c>
      <c r="I22" t="n">
        <v>0</v>
      </c>
    </row>
    <row r="23">
      <c r="A23">
        <f>CHOOSE(MATCH(Config!$B$2,{"PT";"EN"},0),"Seleção","Team")</f>
        <v/>
      </c>
      <c r="B23" t="inlineStr">
        <is>
          <t>Grupo A</t>
        </is>
      </c>
      <c r="C23" t="inlineStr">
        <is>
          <t>MEX</t>
        </is>
      </c>
      <c r="D23" t="inlineStr">
        <is>
          <t>Mexico</t>
        </is>
      </c>
      <c r="E23" t="inlineStr">
        <is>
          <t>MEX13</t>
        </is>
      </c>
      <c r="F23" t="inlineStr">
        <is>
          <t>Team Photo - Mexico</t>
        </is>
      </c>
      <c r="G23" t="inlineStr">
        <is>
          <t>Base</t>
        </is>
      </c>
      <c r="I23" t="n">
        <v>0</v>
      </c>
    </row>
    <row r="24">
      <c r="A24">
        <f>CHOOSE(MATCH(Config!$B$2,{"PT";"EN"},0),"Seleção","Team")</f>
        <v/>
      </c>
      <c r="B24" t="inlineStr">
        <is>
          <t>Grupo A</t>
        </is>
      </c>
      <c r="C24" t="inlineStr">
        <is>
          <t>MEX</t>
        </is>
      </c>
      <c r="D24" t="inlineStr">
        <is>
          <t>Mexico</t>
        </is>
      </c>
      <c r="E24" t="inlineStr">
        <is>
          <t>MEX14</t>
        </is>
      </c>
      <c r="F24" t="inlineStr">
        <is>
          <t>Érick Sánchez - Mexico</t>
        </is>
      </c>
      <c r="G24" t="inlineStr">
        <is>
          <t>Base</t>
        </is>
      </c>
      <c r="I24" t="n">
        <v>0</v>
      </c>
    </row>
    <row r="25">
      <c r="A25">
        <f>CHOOSE(MATCH(Config!$B$2,{"PT";"EN"},0),"Seleção","Team")</f>
        <v/>
      </c>
      <c r="B25" t="inlineStr">
        <is>
          <t>Grupo A</t>
        </is>
      </c>
      <c r="C25" t="inlineStr">
        <is>
          <t>MEX</t>
        </is>
      </c>
      <c r="D25" t="inlineStr">
        <is>
          <t>Mexico</t>
        </is>
      </c>
      <c r="E25" t="inlineStr">
        <is>
          <t>MEX15</t>
        </is>
      </c>
      <c r="F25" t="inlineStr">
        <is>
          <t>Hirving Lozano - Mexico</t>
        </is>
      </c>
      <c r="G25" t="inlineStr">
        <is>
          <t>Base</t>
        </is>
      </c>
      <c r="I25" t="n">
        <v>0</v>
      </c>
    </row>
    <row r="26">
      <c r="A26">
        <f>CHOOSE(MATCH(Config!$B$2,{"PT";"EN"},0),"Seleção","Team")</f>
        <v/>
      </c>
      <c r="B26" t="inlineStr">
        <is>
          <t>Grupo A</t>
        </is>
      </c>
      <c r="C26" t="inlineStr">
        <is>
          <t>MEX</t>
        </is>
      </c>
      <c r="D26" t="inlineStr">
        <is>
          <t>Mexico</t>
        </is>
      </c>
      <c r="E26" t="inlineStr">
        <is>
          <t>MEX16</t>
        </is>
      </c>
      <c r="F26" t="inlineStr">
        <is>
          <t>Santiago Giménez - Mexico</t>
        </is>
      </c>
      <c r="G26" t="inlineStr">
        <is>
          <t>Base</t>
        </is>
      </c>
      <c r="I26" t="n">
        <v>0</v>
      </c>
    </row>
    <row r="27">
      <c r="A27">
        <f>CHOOSE(MATCH(Config!$B$2,{"PT";"EN"},0),"Seleção","Team")</f>
        <v/>
      </c>
      <c r="B27" t="inlineStr">
        <is>
          <t>Grupo A</t>
        </is>
      </c>
      <c r="C27" t="inlineStr">
        <is>
          <t>MEX</t>
        </is>
      </c>
      <c r="D27" t="inlineStr">
        <is>
          <t>Mexico</t>
        </is>
      </c>
      <c r="E27" t="inlineStr">
        <is>
          <t>MEX17</t>
        </is>
      </c>
      <c r="F27" t="inlineStr">
        <is>
          <t>Raúl Jiménez - Mexico</t>
        </is>
      </c>
      <c r="G27" t="inlineStr">
        <is>
          <t>Base</t>
        </is>
      </c>
      <c r="I27" t="n">
        <v>0</v>
      </c>
    </row>
    <row r="28">
      <c r="A28">
        <f>CHOOSE(MATCH(Config!$B$2,{"PT";"EN"},0),"Seleção","Team")</f>
        <v/>
      </c>
      <c r="B28" t="inlineStr">
        <is>
          <t>Grupo A</t>
        </is>
      </c>
      <c r="C28" t="inlineStr">
        <is>
          <t>MEX</t>
        </is>
      </c>
      <c r="D28" t="inlineStr">
        <is>
          <t>Mexico</t>
        </is>
      </c>
      <c r="E28" t="inlineStr">
        <is>
          <t>MEX18</t>
        </is>
      </c>
      <c r="F28" t="inlineStr">
        <is>
          <t>Alexis Vega - Mexico</t>
        </is>
      </c>
      <c r="G28" t="inlineStr">
        <is>
          <t>Base</t>
        </is>
      </c>
      <c r="I28" t="n">
        <v>0</v>
      </c>
    </row>
    <row r="29">
      <c r="A29">
        <f>CHOOSE(MATCH(Config!$B$2,{"PT";"EN"},0),"Seleção","Team")</f>
        <v/>
      </c>
      <c r="B29" t="inlineStr">
        <is>
          <t>Grupo A</t>
        </is>
      </c>
      <c r="C29" t="inlineStr">
        <is>
          <t>MEX</t>
        </is>
      </c>
      <c r="D29" t="inlineStr">
        <is>
          <t>Mexico</t>
        </is>
      </c>
      <c r="E29" t="inlineStr">
        <is>
          <t>MEX19</t>
        </is>
      </c>
      <c r="F29" t="inlineStr">
        <is>
          <t>Roberto Alvarado - Mexico</t>
        </is>
      </c>
      <c r="G29" t="inlineStr">
        <is>
          <t>Base</t>
        </is>
      </c>
      <c r="I29" t="n">
        <v>0</v>
      </c>
    </row>
    <row r="30">
      <c r="A30">
        <f>CHOOSE(MATCH(Config!$B$2,{"PT";"EN"},0),"Seleção","Team")</f>
        <v/>
      </c>
      <c r="B30" t="inlineStr">
        <is>
          <t>Grupo A</t>
        </is>
      </c>
      <c r="C30" t="inlineStr">
        <is>
          <t>MEX</t>
        </is>
      </c>
      <c r="D30" t="inlineStr">
        <is>
          <t>Mexico</t>
        </is>
      </c>
      <c r="E30" t="inlineStr">
        <is>
          <t>MEX20</t>
        </is>
      </c>
      <c r="F30" t="inlineStr">
        <is>
          <t>Cesar Huerta - Mexico</t>
        </is>
      </c>
      <c r="G30" t="inlineStr">
        <is>
          <t>Base</t>
        </is>
      </c>
      <c r="I30" t="n">
        <v>0</v>
      </c>
    </row>
    <row r="31">
      <c r="A31">
        <f>CHOOSE(MATCH(Config!$B$2,{"PT";"EN"},0),"Seleção","Team")</f>
        <v/>
      </c>
      <c r="B31" t="inlineStr">
        <is>
          <t>Grupo A</t>
        </is>
      </c>
      <c r="C31" t="inlineStr">
        <is>
          <t>RSA</t>
        </is>
      </c>
      <c r="D31" t="inlineStr">
        <is>
          <t>South Africa</t>
        </is>
      </c>
      <c r="E31" t="inlineStr">
        <is>
          <t>RSA1</t>
        </is>
      </c>
      <c r="F31" t="inlineStr">
        <is>
          <t>Team Logo - South Africa FOIL</t>
        </is>
      </c>
      <c r="G31" t="inlineStr">
        <is>
          <t>FOIL</t>
        </is>
      </c>
      <c r="I31" t="n">
        <v>0</v>
      </c>
    </row>
    <row r="32">
      <c r="A32">
        <f>CHOOSE(MATCH(Config!$B$2,{"PT";"EN"},0),"Seleção","Team")</f>
        <v/>
      </c>
      <c r="B32" t="inlineStr">
        <is>
          <t>Grupo A</t>
        </is>
      </c>
      <c r="C32" t="inlineStr">
        <is>
          <t>RSA</t>
        </is>
      </c>
      <c r="D32" t="inlineStr">
        <is>
          <t>South Africa</t>
        </is>
      </c>
      <c r="E32" t="inlineStr">
        <is>
          <t>RSA2</t>
        </is>
      </c>
      <c r="F32" t="inlineStr">
        <is>
          <t>Ronwen Williams - South Africa</t>
        </is>
      </c>
      <c r="G32" t="inlineStr">
        <is>
          <t>Base</t>
        </is>
      </c>
      <c r="I32" t="n">
        <v>0</v>
      </c>
    </row>
    <row r="33">
      <c r="A33">
        <f>CHOOSE(MATCH(Config!$B$2,{"PT";"EN"},0),"Seleção","Team")</f>
        <v/>
      </c>
      <c r="B33" t="inlineStr">
        <is>
          <t>Grupo A</t>
        </is>
      </c>
      <c r="C33" t="inlineStr">
        <is>
          <t>RSA</t>
        </is>
      </c>
      <c r="D33" t="inlineStr">
        <is>
          <t>South Africa</t>
        </is>
      </c>
      <c r="E33" t="inlineStr">
        <is>
          <t>RSA3</t>
        </is>
      </c>
      <c r="F33" t="inlineStr">
        <is>
          <t>Sipho Chaine - South Africa</t>
        </is>
      </c>
      <c r="G33" t="inlineStr">
        <is>
          <t>Base</t>
        </is>
      </c>
      <c r="I33" t="n">
        <v>0</v>
      </c>
    </row>
    <row r="34">
      <c r="A34">
        <f>CHOOSE(MATCH(Config!$B$2,{"PT";"EN"},0),"Seleção","Team")</f>
        <v/>
      </c>
      <c r="B34" t="inlineStr">
        <is>
          <t>Grupo A</t>
        </is>
      </c>
      <c r="C34" t="inlineStr">
        <is>
          <t>RSA</t>
        </is>
      </c>
      <c r="D34" t="inlineStr">
        <is>
          <t>South Africa</t>
        </is>
      </c>
      <c r="E34" t="inlineStr">
        <is>
          <t>RSA4</t>
        </is>
      </c>
      <c r="F34" t="inlineStr">
        <is>
          <t>Aubrey Modiba - South Africa</t>
        </is>
      </c>
      <c r="G34" t="inlineStr">
        <is>
          <t>Base</t>
        </is>
      </c>
      <c r="I34" t="n">
        <v>0</v>
      </c>
    </row>
    <row r="35">
      <c r="A35">
        <f>CHOOSE(MATCH(Config!$B$2,{"PT";"EN"},0),"Seleção","Team")</f>
        <v/>
      </c>
      <c r="B35" t="inlineStr">
        <is>
          <t>Grupo A</t>
        </is>
      </c>
      <c r="C35" t="inlineStr">
        <is>
          <t>RSA</t>
        </is>
      </c>
      <c r="D35" t="inlineStr">
        <is>
          <t>South Africa</t>
        </is>
      </c>
      <c r="E35" t="inlineStr">
        <is>
          <t>RSA5</t>
        </is>
      </c>
      <c r="F35" t="inlineStr">
        <is>
          <t>Samukele Kabini - South Africa</t>
        </is>
      </c>
      <c r="G35" t="inlineStr">
        <is>
          <t>Base</t>
        </is>
      </c>
      <c r="I35" t="n">
        <v>0</v>
      </c>
    </row>
    <row r="36">
      <c r="A36">
        <f>CHOOSE(MATCH(Config!$B$2,{"PT";"EN"},0),"Seleção","Team")</f>
        <v/>
      </c>
      <c r="B36" t="inlineStr">
        <is>
          <t>Grupo A</t>
        </is>
      </c>
      <c r="C36" t="inlineStr">
        <is>
          <t>RSA</t>
        </is>
      </c>
      <c r="D36" t="inlineStr">
        <is>
          <t>South Africa</t>
        </is>
      </c>
      <c r="E36" t="inlineStr">
        <is>
          <t>RSA6</t>
        </is>
      </c>
      <c r="F36" t="inlineStr">
        <is>
          <t>Mbekezeli Mbokazi - South Africa</t>
        </is>
      </c>
      <c r="G36" t="inlineStr">
        <is>
          <t>Base</t>
        </is>
      </c>
      <c r="I36" t="n">
        <v>0</v>
      </c>
    </row>
    <row r="37">
      <c r="A37">
        <f>CHOOSE(MATCH(Config!$B$2,{"PT";"EN"},0),"Seleção","Team")</f>
        <v/>
      </c>
      <c r="B37" t="inlineStr">
        <is>
          <t>Grupo A</t>
        </is>
      </c>
      <c r="C37" t="inlineStr">
        <is>
          <t>RSA</t>
        </is>
      </c>
      <c r="D37" t="inlineStr">
        <is>
          <t>South Africa</t>
        </is>
      </c>
      <c r="E37" t="inlineStr">
        <is>
          <t>RSA7</t>
        </is>
      </c>
      <c r="F37" t="inlineStr">
        <is>
          <t>Khulumani Ndamane - South Africa</t>
        </is>
      </c>
      <c r="G37" t="inlineStr">
        <is>
          <t>Base</t>
        </is>
      </c>
      <c r="I37" t="n">
        <v>0</v>
      </c>
    </row>
    <row r="38">
      <c r="A38">
        <f>CHOOSE(MATCH(Config!$B$2,{"PT";"EN"},0),"Seleção","Team")</f>
        <v/>
      </c>
      <c r="B38" t="inlineStr">
        <is>
          <t>Grupo A</t>
        </is>
      </c>
      <c r="C38" t="inlineStr">
        <is>
          <t>RSA</t>
        </is>
      </c>
      <c r="D38" t="inlineStr">
        <is>
          <t>South Africa</t>
        </is>
      </c>
      <c r="E38" t="inlineStr">
        <is>
          <t>RSA8</t>
        </is>
      </c>
      <c r="F38" t="inlineStr">
        <is>
          <t>Siyabonga Ngezana - South Africa</t>
        </is>
      </c>
      <c r="G38" t="inlineStr">
        <is>
          <t>Base</t>
        </is>
      </c>
      <c r="I38" t="n">
        <v>0</v>
      </c>
    </row>
    <row r="39">
      <c r="A39">
        <f>CHOOSE(MATCH(Config!$B$2,{"PT";"EN"},0),"Seleção","Team")</f>
        <v/>
      </c>
      <c r="B39" t="inlineStr">
        <is>
          <t>Grupo A</t>
        </is>
      </c>
      <c r="C39" t="inlineStr">
        <is>
          <t>RSA</t>
        </is>
      </c>
      <c r="D39" t="inlineStr">
        <is>
          <t>South Africa</t>
        </is>
      </c>
      <c r="E39" t="inlineStr">
        <is>
          <t>RSA9</t>
        </is>
      </c>
      <c r="F39" t="inlineStr">
        <is>
          <t>Khuliso Mudau - South Africa</t>
        </is>
      </c>
      <c r="G39" t="inlineStr">
        <is>
          <t>Base</t>
        </is>
      </c>
      <c r="I39" t="n">
        <v>0</v>
      </c>
    </row>
    <row r="40">
      <c r="A40">
        <f>CHOOSE(MATCH(Config!$B$2,{"PT";"EN"},0),"Seleção","Team")</f>
        <v/>
      </c>
      <c r="B40" t="inlineStr">
        <is>
          <t>Grupo A</t>
        </is>
      </c>
      <c r="C40" t="inlineStr">
        <is>
          <t>RSA</t>
        </is>
      </c>
      <c r="D40" t="inlineStr">
        <is>
          <t>South Africa</t>
        </is>
      </c>
      <c r="E40" t="inlineStr">
        <is>
          <t>RSA10</t>
        </is>
      </c>
      <c r="F40" t="inlineStr">
        <is>
          <t>Nkosinathi Sibisi - South Africa</t>
        </is>
      </c>
      <c r="G40" t="inlineStr">
        <is>
          <t>Base</t>
        </is>
      </c>
      <c r="I40" t="n">
        <v>0</v>
      </c>
    </row>
    <row r="41">
      <c r="A41">
        <f>CHOOSE(MATCH(Config!$B$2,{"PT";"EN"},0),"Seleção","Team")</f>
        <v/>
      </c>
      <c r="B41" t="inlineStr">
        <is>
          <t>Grupo A</t>
        </is>
      </c>
      <c r="C41" t="inlineStr">
        <is>
          <t>RSA</t>
        </is>
      </c>
      <c r="D41" t="inlineStr">
        <is>
          <t>South Africa</t>
        </is>
      </c>
      <c r="E41" t="inlineStr">
        <is>
          <t>RSA11</t>
        </is>
      </c>
      <c r="F41" t="inlineStr">
        <is>
          <t>Teboho Mokoena - South Africa</t>
        </is>
      </c>
      <c r="G41" t="inlineStr">
        <is>
          <t>Base</t>
        </is>
      </c>
      <c r="I41" t="n">
        <v>0</v>
      </c>
    </row>
    <row r="42">
      <c r="A42">
        <f>CHOOSE(MATCH(Config!$B$2,{"PT";"EN"},0),"Seleção","Team")</f>
        <v/>
      </c>
      <c r="B42" t="inlineStr">
        <is>
          <t>Grupo A</t>
        </is>
      </c>
      <c r="C42" t="inlineStr">
        <is>
          <t>RSA</t>
        </is>
      </c>
      <c r="D42" t="inlineStr">
        <is>
          <t>South Africa</t>
        </is>
      </c>
      <c r="E42" t="inlineStr">
        <is>
          <t>RSA12</t>
        </is>
      </c>
      <c r="F42" t="inlineStr">
        <is>
          <t>Thalente Mbatha - South Africa</t>
        </is>
      </c>
      <c r="G42" t="inlineStr">
        <is>
          <t>Base</t>
        </is>
      </c>
      <c r="I42" t="n">
        <v>0</v>
      </c>
    </row>
    <row r="43">
      <c r="A43">
        <f>CHOOSE(MATCH(Config!$B$2,{"PT";"EN"},0),"Seleção","Team")</f>
        <v/>
      </c>
      <c r="B43" t="inlineStr">
        <is>
          <t>Grupo A</t>
        </is>
      </c>
      <c r="C43" t="inlineStr">
        <is>
          <t>RSA</t>
        </is>
      </c>
      <c r="D43" t="inlineStr">
        <is>
          <t>South Africa</t>
        </is>
      </c>
      <c r="E43" t="inlineStr">
        <is>
          <t>RSA13</t>
        </is>
      </c>
      <c r="F43" t="inlineStr">
        <is>
          <t>Team Photo - South Africa</t>
        </is>
      </c>
      <c r="G43" t="inlineStr">
        <is>
          <t>Base</t>
        </is>
      </c>
      <c r="I43" t="n">
        <v>0</v>
      </c>
    </row>
    <row r="44">
      <c r="A44">
        <f>CHOOSE(MATCH(Config!$B$2,{"PT";"EN"},0),"Seleção","Team")</f>
        <v/>
      </c>
      <c r="B44" t="inlineStr">
        <is>
          <t>Grupo A</t>
        </is>
      </c>
      <c r="C44" t="inlineStr">
        <is>
          <t>RSA</t>
        </is>
      </c>
      <c r="D44" t="inlineStr">
        <is>
          <t>South Africa</t>
        </is>
      </c>
      <c r="E44" t="inlineStr">
        <is>
          <t>RSA14</t>
        </is>
      </c>
      <c r="F44" t="inlineStr">
        <is>
          <t>Bathasi Aubaas - South Africa</t>
        </is>
      </c>
      <c r="G44" t="inlineStr">
        <is>
          <t>Base</t>
        </is>
      </c>
      <c r="I44" t="n">
        <v>0</v>
      </c>
    </row>
    <row r="45">
      <c r="A45">
        <f>CHOOSE(MATCH(Config!$B$2,{"PT";"EN"},0),"Seleção","Team")</f>
        <v/>
      </c>
      <c r="B45" t="inlineStr">
        <is>
          <t>Grupo A</t>
        </is>
      </c>
      <c r="C45" t="inlineStr">
        <is>
          <t>RSA</t>
        </is>
      </c>
      <c r="D45" t="inlineStr">
        <is>
          <t>South Africa</t>
        </is>
      </c>
      <c r="E45" t="inlineStr">
        <is>
          <t>RSA15</t>
        </is>
      </c>
      <c r="F45" t="inlineStr">
        <is>
          <t>Yaya Sithole - South Africa</t>
        </is>
      </c>
      <c r="G45" t="inlineStr">
        <is>
          <t>Base</t>
        </is>
      </c>
      <c r="I45" t="n">
        <v>0</v>
      </c>
    </row>
    <row r="46">
      <c r="A46">
        <f>CHOOSE(MATCH(Config!$B$2,{"PT";"EN"},0),"Seleção","Team")</f>
        <v/>
      </c>
      <c r="B46" t="inlineStr">
        <is>
          <t>Grupo A</t>
        </is>
      </c>
      <c r="C46" t="inlineStr">
        <is>
          <t>RSA</t>
        </is>
      </c>
      <c r="D46" t="inlineStr">
        <is>
          <t>South Africa</t>
        </is>
      </c>
      <c r="E46" t="inlineStr">
        <is>
          <t>RSA16</t>
        </is>
      </c>
      <c r="F46" t="inlineStr">
        <is>
          <t>Sipho Mbule - South Africa</t>
        </is>
      </c>
      <c r="G46" t="inlineStr">
        <is>
          <t>Base</t>
        </is>
      </c>
      <c r="I46" t="n">
        <v>0</v>
      </c>
    </row>
    <row r="47">
      <c r="A47">
        <f>CHOOSE(MATCH(Config!$B$2,{"PT";"EN"},0),"Seleção","Team")</f>
        <v/>
      </c>
      <c r="B47" t="inlineStr">
        <is>
          <t>Grupo A</t>
        </is>
      </c>
      <c r="C47" t="inlineStr">
        <is>
          <t>RSA</t>
        </is>
      </c>
      <c r="D47" t="inlineStr">
        <is>
          <t>South Africa</t>
        </is>
      </c>
      <c r="E47" t="inlineStr">
        <is>
          <t>RSA17</t>
        </is>
      </c>
      <c r="F47" t="inlineStr">
        <is>
          <t>Lyle Foster - South Africa</t>
        </is>
      </c>
      <c r="G47" t="inlineStr">
        <is>
          <t>Base</t>
        </is>
      </c>
      <c r="I47" t="n">
        <v>0</v>
      </c>
    </row>
    <row r="48">
      <c r="A48">
        <f>CHOOSE(MATCH(Config!$B$2,{"PT";"EN"},0),"Seleção","Team")</f>
        <v/>
      </c>
      <c r="B48" t="inlineStr">
        <is>
          <t>Grupo A</t>
        </is>
      </c>
      <c r="C48" t="inlineStr">
        <is>
          <t>RSA</t>
        </is>
      </c>
      <c r="D48" t="inlineStr">
        <is>
          <t>South Africa</t>
        </is>
      </c>
      <c r="E48" t="inlineStr">
        <is>
          <t>RSA18</t>
        </is>
      </c>
      <c r="F48" t="inlineStr">
        <is>
          <t>Iqraam Rayners - South Africa</t>
        </is>
      </c>
      <c r="G48" t="inlineStr">
        <is>
          <t>Base</t>
        </is>
      </c>
      <c r="I48" t="n">
        <v>0</v>
      </c>
    </row>
    <row r="49">
      <c r="A49">
        <f>CHOOSE(MATCH(Config!$B$2,{"PT";"EN"},0),"Seleção","Team")</f>
        <v/>
      </c>
      <c r="B49" t="inlineStr">
        <is>
          <t>Grupo A</t>
        </is>
      </c>
      <c r="C49" t="inlineStr">
        <is>
          <t>RSA</t>
        </is>
      </c>
      <c r="D49" t="inlineStr">
        <is>
          <t>South Africa</t>
        </is>
      </c>
      <c r="E49" t="inlineStr">
        <is>
          <t>RSA19</t>
        </is>
      </c>
      <c r="F49" t="inlineStr">
        <is>
          <t>Mohau Nkota - South Africa</t>
        </is>
      </c>
      <c r="G49" t="inlineStr">
        <is>
          <t>Base</t>
        </is>
      </c>
      <c r="I49" t="n">
        <v>0</v>
      </c>
    </row>
    <row r="50">
      <c r="A50">
        <f>CHOOSE(MATCH(Config!$B$2,{"PT";"EN"},0),"Seleção","Team")</f>
        <v/>
      </c>
      <c r="B50" t="inlineStr">
        <is>
          <t>Grupo A</t>
        </is>
      </c>
      <c r="C50" t="inlineStr">
        <is>
          <t>RSA</t>
        </is>
      </c>
      <c r="D50" t="inlineStr">
        <is>
          <t>South Africa</t>
        </is>
      </c>
      <c r="E50" t="inlineStr">
        <is>
          <t>RSA20</t>
        </is>
      </c>
      <c r="F50" t="inlineStr">
        <is>
          <t>Oswin Appollis - South Africa</t>
        </is>
      </c>
      <c r="G50" t="inlineStr">
        <is>
          <t>Base</t>
        </is>
      </c>
      <c r="I50" t="n">
        <v>0</v>
      </c>
    </row>
    <row r="51">
      <c r="A51">
        <f>CHOOSE(MATCH(Config!$B$2,{"PT";"EN"},0),"Seleção","Team")</f>
        <v/>
      </c>
      <c r="B51" t="inlineStr">
        <is>
          <t>Grupo A</t>
        </is>
      </c>
      <c r="C51" t="inlineStr">
        <is>
          <t>KOR</t>
        </is>
      </c>
      <c r="D51" t="inlineStr">
        <is>
          <t>South Korea</t>
        </is>
      </c>
      <c r="E51" t="inlineStr">
        <is>
          <t>KOR1</t>
        </is>
      </c>
      <c r="F51" t="inlineStr">
        <is>
          <t>Team Logo - South Korea FOIL</t>
        </is>
      </c>
      <c r="G51" t="inlineStr">
        <is>
          <t>FOIL</t>
        </is>
      </c>
      <c r="I51" t="n">
        <v>0</v>
      </c>
    </row>
    <row r="52">
      <c r="A52">
        <f>CHOOSE(MATCH(Config!$B$2,{"PT";"EN"},0),"Seleção","Team")</f>
        <v/>
      </c>
      <c r="B52" t="inlineStr">
        <is>
          <t>Grupo A</t>
        </is>
      </c>
      <c r="C52" t="inlineStr">
        <is>
          <t>KOR</t>
        </is>
      </c>
      <c r="D52" t="inlineStr">
        <is>
          <t>South Korea</t>
        </is>
      </c>
      <c r="E52" t="inlineStr">
        <is>
          <t>KOR2</t>
        </is>
      </c>
      <c r="F52" t="inlineStr">
        <is>
          <t>Hyeon-woo Jo - South Korea</t>
        </is>
      </c>
      <c r="G52" t="inlineStr">
        <is>
          <t>Base</t>
        </is>
      </c>
      <c r="I52" t="n">
        <v>0</v>
      </c>
    </row>
    <row r="53">
      <c r="A53">
        <f>CHOOSE(MATCH(Config!$B$2,{"PT";"EN"},0),"Seleção","Team")</f>
        <v/>
      </c>
      <c r="B53" t="inlineStr">
        <is>
          <t>Grupo A</t>
        </is>
      </c>
      <c r="C53" t="inlineStr">
        <is>
          <t>KOR</t>
        </is>
      </c>
      <c r="D53" t="inlineStr">
        <is>
          <t>South Korea</t>
        </is>
      </c>
      <c r="E53" t="inlineStr">
        <is>
          <t>KOR3</t>
        </is>
      </c>
      <c r="F53" t="inlineStr">
        <is>
          <t>Seung-Gyu Kim - South Korea</t>
        </is>
      </c>
      <c r="G53" t="inlineStr">
        <is>
          <t>Base</t>
        </is>
      </c>
      <c r="I53" t="n">
        <v>0</v>
      </c>
    </row>
    <row r="54">
      <c r="A54">
        <f>CHOOSE(MATCH(Config!$B$2,{"PT";"EN"},0),"Seleção","Team")</f>
        <v/>
      </c>
      <c r="B54" t="inlineStr">
        <is>
          <t>Grupo A</t>
        </is>
      </c>
      <c r="C54" t="inlineStr">
        <is>
          <t>KOR</t>
        </is>
      </c>
      <c r="D54" t="inlineStr">
        <is>
          <t>South Korea</t>
        </is>
      </c>
      <c r="E54" t="inlineStr">
        <is>
          <t>KOR4</t>
        </is>
      </c>
      <c r="F54" t="inlineStr">
        <is>
          <t>Min-jae Kim - South Korea</t>
        </is>
      </c>
      <c r="G54" t="inlineStr">
        <is>
          <t>Base</t>
        </is>
      </c>
      <c r="I54" t="n">
        <v>0</v>
      </c>
    </row>
    <row r="55">
      <c r="A55">
        <f>CHOOSE(MATCH(Config!$B$2,{"PT";"EN"},0),"Seleção","Team")</f>
        <v/>
      </c>
      <c r="B55" t="inlineStr">
        <is>
          <t>Grupo A</t>
        </is>
      </c>
      <c r="C55" t="inlineStr">
        <is>
          <t>KOR</t>
        </is>
      </c>
      <c r="D55" t="inlineStr">
        <is>
          <t>South Korea</t>
        </is>
      </c>
      <c r="E55" t="inlineStr">
        <is>
          <t>KOR5</t>
        </is>
      </c>
      <c r="F55" t="inlineStr">
        <is>
          <t>Yu-min Cho - South Korea</t>
        </is>
      </c>
      <c r="G55" t="inlineStr">
        <is>
          <t>Base</t>
        </is>
      </c>
      <c r="I55" t="n">
        <v>0</v>
      </c>
    </row>
    <row r="56">
      <c r="A56">
        <f>CHOOSE(MATCH(Config!$B$2,{"PT";"EN"},0),"Seleção","Team")</f>
        <v/>
      </c>
      <c r="B56" t="inlineStr">
        <is>
          <t>Grupo A</t>
        </is>
      </c>
      <c r="C56" t="inlineStr">
        <is>
          <t>KOR</t>
        </is>
      </c>
      <c r="D56" t="inlineStr">
        <is>
          <t>South Korea</t>
        </is>
      </c>
      <c r="E56" t="inlineStr">
        <is>
          <t>KOR6</t>
        </is>
      </c>
      <c r="F56" t="inlineStr">
        <is>
          <t>Young-woo Seol - South Korea</t>
        </is>
      </c>
      <c r="G56" t="inlineStr">
        <is>
          <t>Base</t>
        </is>
      </c>
      <c r="I56" t="n">
        <v>0</v>
      </c>
    </row>
    <row r="57">
      <c r="A57">
        <f>CHOOSE(MATCH(Config!$B$2,{"PT";"EN"},0),"Seleção","Team")</f>
        <v/>
      </c>
      <c r="B57" t="inlineStr">
        <is>
          <t>Grupo A</t>
        </is>
      </c>
      <c r="C57" t="inlineStr">
        <is>
          <t>KOR</t>
        </is>
      </c>
      <c r="D57" t="inlineStr">
        <is>
          <t>South Korea</t>
        </is>
      </c>
      <c r="E57" t="inlineStr">
        <is>
          <t>KOR7</t>
        </is>
      </c>
      <c r="F57" t="inlineStr">
        <is>
          <t>Han-beom Lee - South Korea</t>
        </is>
      </c>
      <c r="G57" t="inlineStr">
        <is>
          <t>Base</t>
        </is>
      </c>
      <c r="I57" t="n">
        <v>0</v>
      </c>
    </row>
    <row r="58">
      <c r="A58">
        <f>CHOOSE(MATCH(Config!$B$2,{"PT";"EN"},0),"Seleção","Team")</f>
        <v/>
      </c>
      <c r="B58" t="inlineStr">
        <is>
          <t>Grupo A</t>
        </is>
      </c>
      <c r="C58" t="inlineStr">
        <is>
          <t>KOR</t>
        </is>
      </c>
      <c r="D58" t="inlineStr">
        <is>
          <t>South Korea</t>
        </is>
      </c>
      <c r="E58" t="inlineStr">
        <is>
          <t>KOR8</t>
        </is>
      </c>
      <c r="F58" t="inlineStr">
        <is>
          <t>Tae-seok Lee - South Korea</t>
        </is>
      </c>
      <c r="G58" t="inlineStr">
        <is>
          <t>Base</t>
        </is>
      </c>
      <c r="I58" t="n">
        <v>0</v>
      </c>
    </row>
    <row r="59">
      <c r="A59">
        <f>CHOOSE(MATCH(Config!$B$2,{"PT";"EN"},0),"Seleção","Team")</f>
        <v/>
      </c>
      <c r="B59" t="inlineStr">
        <is>
          <t>Grupo A</t>
        </is>
      </c>
      <c r="C59" t="inlineStr">
        <is>
          <t>KOR</t>
        </is>
      </c>
      <c r="D59" t="inlineStr">
        <is>
          <t>South Korea</t>
        </is>
      </c>
      <c r="E59" t="inlineStr">
        <is>
          <t>KOR9</t>
        </is>
      </c>
      <c r="F59" t="inlineStr">
        <is>
          <t>Myung-jae Lee - South Korea</t>
        </is>
      </c>
      <c r="G59" t="inlineStr">
        <is>
          <t>Base</t>
        </is>
      </c>
      <c r="I59" t="n">
        <v>0</v>
      </c>
    </row>
    <row r="60">
      <c r="A60">
        <f>CHOOSE(MATCH(Config!$B$2,{"PT";"EN"},0),"Seleção","Team")</f>
        <v/>
      </c>
      <c r="B60" t="inlineStr">
        <is>
          <t>Grupo A</t>
        </is>
      </c>
      <c r="C60" t="inlineStr">
        <is>
          <t>KOR</t>
        </is>
      </c>
      <c r="D60" t="inlineStr">
        <is>
          <t>South Korea</t>
        </is>
      </c>
      <c r="E60" t="inlineStr">
        <is>
          <t>KOR10</t>
        </is>
      </c>
      <c r="F60" t="inlineStr">
        <is>
          <t>Jae-sung Lee - South Korea</t>
        </is>
      </c>
      <c r="G60" t="inlineStr">
        <is>
          <t>Base</t>
        </is>
      </c>
      <c r="I60" t="n">
        <v>0</v>
      </c>
    </row>
    <row r="61">
      <c r="A61">
        <f>CHOOSE(MATCH(Config!$B$2,{"PT";"EN"},0),"Seleção","Team")</f>
        <v/>
      </c>
      <c r="B61" t="inlineStr">
        <is>
          <t>Grupo A</t>
        </is>
      </c>
      <c r="C61" t="inlineStr">
        <is>
          <t>KOR</t>
        </is>
      </c>
      <c r="D61" t="inlineStr">
        <is>
          <t>South Korea</t>
        </is>
      </c>
      <c r="E61" t="inlineStr">
        <is>
          <t>KOR11</t>
        </is>
      </c>
      <c r="F61" t="inlineStr">
        <is>
          <t>In-beom Hwang - South Korea</t>
        </is>
      </c>
      <c r="G61" t="inlineStr">
        <is>
          <t>Base</t>
        </is>
      </c>
      <c r="I61" t="n">
        <v>0</v>
      </c>
    </row>
    <row r="62">
      <c r="A62">
        <f>CHOOSE(MATCH(Config!$B$2,{"PT";"EN"},0),"Seleção","Team")</f>
        <v/>
      </c>
      <c r="B62" t="inlineStr">
        <is>
          <t>Grupo A</t>
        </is>
      </c>
      <c r="C62" t="inlineStr">
        <is>
          <t>KOR</t>
        </is>
      </c>
      <c r="D62" t="inlineStr">
        <is>
          <t>South Korea</t>
        </is>
      </c>
      <c r="E62" t="inlineStr">
        <is>
          <t>KOR12</t>
        </is>
      </c>
      <c r="F62" t="inlineStr">
        <is>
          <t>Kang-in Lee - South Korea</t>
        </is>
      </c>
      <c r="G62" t="inlineStr">
        <is>
          <t>Base</t>
        </is>
      </c>
      <c r="I62" t="n">
        <v>0</v>
      </c>
    </row>
    <row r="63">
      <c r="A63">
        <f>CHOOSE(MATCH(Config!$B$2,{"PT";"EN"},0),"Seleção","Team")</f>
        <v/>
      </c>
      <c r="B63" t="inlineStr">
        <is>
          <t>Grupo A</t>
        </is>
      </c>
      <c r="C63" t="inlineStr">
        <is>
          <t>KOR</t>
        </is>
      </c>
      <c r="D63" t="inlineStr">
        <is>
          <t>South Korea</t>
        </is>
      </c>
      <c r="E63" t="inlineStr">
        <is>
          <t>KOR13</t>
        </is>
      </c>
      <c r="F63" t="inlineStr">
        <is>
          <t>Team Photo - South Korea</t>
        </is>
      </c>
      <c r="G63" t="inlineStr">
        <is>
          <t>Base</t>
        </is>
      </c>
      <c r="I63" t="n">
        <v>0</v>
      </c>
    </row>
    <row r="64">
      <c r="A64">
        <f>CHOOSE(MATCH(Config!$B$2,{"PT";"EN"},0),"Seleção","Team")</f>
        <v/>
      </c>
      <c r="B64" t="inlineStr">
        <is>
          <t>Grupo A</t>
        </is>
      </c>
      <c r="C64" t="inlineStr">
        <is>
          <t>KOR</t>
        </is>
      </c>
      <c r="D64" t="inlineStr">
        <is>
          <t>South Korea</t>
        </is>
      </c>
      <c r="E64" t="inlineStr">
        <is>
          <t>KOR14</t>
        </is>
      </c>
      <c r="F64" t="inlineStr">
        <is>
          <t>Seung-ho Paik - South Korea</t>
        </is>
      </c>
      <c r="G64" t="inlineStr">
        <is>
          <t>Base</t>
        </is>
      </c>
      <c r="I64" t="n">
        <v>0</v>
      </c>
    </row>
    <row r="65">
      <c r="A65">
        <f>CHOOSE(MATCH(Config!$B$2,{"PT";"EN"},0),"Seleção","Team")</f>
        <v/>
      </c>
      <c r="B65" t="inlineStr">
        <is>
          <t>Grupo A</t>
        </is>
      </c>
      <c r="C65" t="inlineStr">
        <is>
          <t>KOR</t>
        </is>
      </c>
      <c r="D65" t="inlineStr">
        <is>
          <t>South Korea</t>
        </is>
      </c>
      <c r="E65" t="inlineStr">
        <is>
          <t>KOR15</t>
        </is>
      </c>
      <c r="F65" t="inlineStr">
        <is>
          <t>Jens Castrop - South Korea</t>
        </is>
      </c>
      <c r="G65" t="inlineStr">
        <is>
          <t>Base</t>
        </is>
      </c>
      <c r="I65" t="n">
        <v>0</v>
      </c>
    </row>
    <row r="66">
      <c r="A66">
        <f>CHOOSE(MATCH(Config!$B$2,{"PT";"EN"},0),"Seleção","Team")</f>
        <v/>
      </c>
      <c r="B66" t="inlineStr">
        <is>
          <t>Grupo A</t>
        </is>
      </c>
      <c r="C66" t="inlineStr">
        <is>
          <t>KOR</t>
        </is>
      </c>
      <c r="D66" t="inlineStr">
        <is>
          <t>South Korea</t>
        </is>
      </c>
      <c r="E66" t="inlineStr">
        <is>
          <t>KOR16</t>
        </is>
      </c>
      <c r="F66" t="inlineStr">
        <is>
          <t>Dongg-yeong Lee - South Korea</t>
        </is>
      </c>
      <c r="G66" t="inlineStr">
        <is>
          <t>Base</t>
        </is>
      </c>
      <c r="I66" t="n">
        <v>0</v>
      </c>
    </row>
    <row r="67">
      <c r="A67">
        <f>CHOOSE(MATCH(Config!$B$2,{"PT";"EN"},0),"Seleção","Team")</f>
        <v/>
      </c>
      <c r="B67" t="inlineStr">
        <is>
          <t>Grupo A</t>
        </is>
      </c>
      <c r="C67" t="inlineStr">
        <is>
          <t>KOR</t>
        </is>
      </c>
      <c r="D67" t="inlineStr">
        <is>
          <t>South Korea</t>
        </is>
      </c>
      <c r="E67" t="inlineStr">
        <is>
          <t>KOR17</t>
        </is>
      </c>
      <c r="F67" t="inlineStr">
        <is>
          <t>Gue-sung Cho - South Korea</t>
        </is>
      </c>
      <c r="G67" t="inlineStr">
        <is>
          <t>Base</t>
        </is>
      </c>
      <c r="I67" t="n">
        <v>0</v>
      </c>
    </row>
    <row r="68">
      <c r="A68">
        <f>CHOOSE(MATCH(Config!$B$2,{"PT";"EN"},0),"Seleção","Team")</f>
        <v/>
      </c>
      <c r="B68" t="inlineStr">
        <is>
          <t>Grupo A</t>
        </is>
      </c>
      <c r="C68" t="inlineStr">
        <is>
          <t>KOR</t>
        </is>
      </c>
      <c r="D68" t="inlineStr">
        <is>
          <t>South Korea</t>
        </is>
      </c>
      <c r="E68" t="inlineStr">
        <is>
          <t>KOR18</t>
        </is>
      </c>
      <c r="F68" t="inlineStr">
        <is>
          <t>Heung-min Son - South Korea</t>
        </is>
      </c>
      <c r="G68" t="inlineStr">
        <is>
          <t>Base</t>
        </is>
      </c>
      <c r="I68" t="n">
        <v>0</v>
      </c>
    </row>
    <row r="69">
      <c r="A69">
        <f>CHOOSE(MATCH(Config!$B$2,{"PT";"EN"},0),"Seleção","Team")</f>
        <v/>
      </c>
      <c r="B69" t="inlineStr">
        <is>
          <t>Grupo A</t>
        </is>
      </c>
      <c r="C69" t="inlineStr">
        <is>
          <t>KOR</t>
        </is>
      </c>
      <c r="D69" t="inlineStr">
        <is>
          <t>South Korea</t>
        </is>
      </c>
      <c r="E69" t="inlineStr">
        <is>
          <t>KOR19</t>
        </is>
      </c>
      <c r="F69" t="inlineStr">
        <is>
          <t>Hee-chan Hwang - South Korea</t>
        </is>
      </c>
      <c r="G69" t="inlineStr">
        <is>
          <t>Base</t>
        </is>
      </c>
      <c r="I69" t="n">
        <v>0</v>
      </c>
    </row>
    <row r="70">
      <c r="A70">
        <f>CHOOSE(MATCH(Config!$B$2,{"PT";"EN"},0),"Seleção","Team")</f>
        <v/>
      </c>
      <c r="B70" t="inlineStr">
        <is>
          <t>Grupo A</t>
        </is>
      </c>
      <c r="C70" t="inlineStr">
        <is>
          <t>KOR</t>
        </is>
      </c>
      <c r="D70" t="inlineStr">
        <is>
          <t>South Korea</t>
        </is>
      </c>
      <c r="E70" t="inlineStr">
        <is>
          <t>KOR20</t>
        </is>
      </c>
      <c r="F70" t="inlineStr">
        <is>
          <t>Hyeon-Gyu Oh - South Korea</t>
        </is>
      </c>
      <c r="G70" t="inlineStr">
        <is>
          <t>Base</t>
        </is>
      </c>
      <c r="I70" t="n">
        <v>0</v>
      </c>
    </row>
    <row r="71">
      <c r="A71">
        <f>CHOOSE(MATCH(Config!$B$2,{"PT";"EN"},0),"Seleção","Team")</f>
        <v/>
      </c>
      <c r="B71" t="inlineStr">
        <is>
          <t>Grupo A</t>
        </is>
      </c>
      <c r="C71" t="inlineStr">
        <is>
          <t>CZE</t>
        </is>
      </c>
      <c r="D71" t="inlineStr">
        <is>
          <t>Czechia</t>
        </is>
      </c>
      <c r="E71" t="inlineStr">
        <is>
          <t>CZE1</t>
        </is>
      </c>
      <c r="F71" t="inlineStr">
        <is>
          <t>Team Logo - Czechia FOIL</t>
        </is>
      </c>
      <c r="G71" t="inlineStr">
        <is>
          <t>FOIL</t>
        </is>
      </c>
      <c r="I71" t="n">
        <v>0</v>
      </c>
    </row>
    <row r="72">
      <c r="A72">
        <f>CHOOSE(MATCH(Config!$B$2,{"PT";"EN"},0),"Seleção","Team")</f>
        <v/>
      </c>
      <c r="B72" t="inlineStr">
        <is>
          <t>Grupo A</t>
        </is>
      </c>
      <c r="C72" t="inlineStr">
        <is>
          <t>CZE</t>
        </is>
      </c>
      <c r="D72" t="inlineStr">
        <is>
          <t>Czechia</t>
        </is>
      </c>
      <c r="E72" t="inlineStr">
        <is>
          <t>CZE2</t>
        </is>
      </c>
      <c r="F72" t="inlineStr">
        <is>
          <t>Matej Kovar - Czechia</t>
        </is>
      </c>
      <c r="G72" t="inlineStr">
        <is>
          <t>Base</t>
        </is>
      </c>
      <c r="I72" t="n">
        <v>0</v>
      </c>
    </row>
    <row r="73">
      <c r="A73">
        <f>CHOOSE(MATCH(Config!$B$2,{"PT";"EN"},0),"Seleção","Team")</f>
        <v/>
      </c>
      <c r="B73" t="inlineStr">
        <is>
          <t>Grupo A</t>
        </is>
      </c>
      <c r="C73" t="inlineStr">
        <is>
          <t>CZE</t>
        </is>
      </c>
      <c r="D73" t="inlineStr">
        <is>
          <t>Czechia</t>
        </is>
      </c>
      <c r="E73" t="inlineStr">
        <is>
          <t>CZE3</t>
        </is>
      </c>
      <c r="F73" t="inlineStr">
        <is>
          <t>Jindrich Stanek - Czechia</t>
        </is>
      </c>
      <c r="G73" t="inlineStr">
        <is>
          <t>Base</t>
        </is>
      </c>
      <c r="I73" t="n">
        <v>0</v>
      </c>
    </row>
    <row r="74">
      <c r="A74">
        <f>CHOOSE(MATCH(Config!$B$2,{"PT";"EN"},0),"Seleção","Team")</f>
        <v/>
      </c>
      <c r="B74" t="inlineStr">
        <is>
          <t>Grupo A</t>
        </is>
      </c>
      <c r="C74" t="inlineStr">
        <is>
          <t>CZE</t>
        </is>
      </c>
      <c r="D74" t="inlineStr">
        <is>
          <t>Czechia</t>
        </is>
      </c>
      <c r="E74" t="inlineStr">
        <is>
          <t>CZE4</t>
        </is>
      </c>
      <c r="F74" t="inlineStr">
        <is>
          <t>Ladislav Krejci - Czechia</t>
        </is>
      </c>
      <c r="G74" t="inlineStr">
        <is>
          <t>Base</t>
        </is>
      </c>
      <c r="I74" t="n">
        <v>0</v>
      </c>
    </row>
    <row r="75">
      <c r="A75">
        <f>CHOOSE(MATCH(Config!$B$2,{"PT";"EN"},0),"Seleção","Team")</f>
        <v/>
      </c>
      <c r="B75" t="inlineStr">
        <is>
          <t>Grupo A</t>
        </is>
      </c>
      <c r="C75" t="inlineStr">
        <is>
          <t>CZE</t>
        </is>
      </c>
      <c r="D75" t="inlineStr">
        <is>
          <t>Czechia</t>
        </is>
      </c>
      <c r="E75" t="inlineStr">
        <is>
          <t>CZE5</t>
        </is>
      </c>
      <c r="F75" t="inlineStr">
        <is>
          <t>Vladimir Coufal - Czechia</t>
        </is>
      </c>
      <c r="G75" t="inlineStr">
        <is>
          <t>Base</t>
        </is>
      </c>
      <c r="I75" t="n">
        <v>0</v>
      </c>
    </row>
    <row r="76">
      <c r="A76">
        <f>CHOOSE(MATCH(Config!$B$2,{"PT";"EN"},0),"Seleção","Team")</f>
        <v/>
      </c>
      <c r="B76" t="inlineStr">
        <is>
          <t>Grupo A</t>
        </is>
      </c>
      <c r="C76" t="inlineStr">
        <is>
          <t>CZE</t>
        </is>
      </c>
      <c r="D76" t="inlineStr">
        <is>
          <t>Czechia</t>
        </is>
      </c>
      <c r="E76" t="inlineStr">
        <is>
          <t>CZE6</t>
        </is>
      </c>
      <c r="F76" t="inlineStr">
        <is>
          <t>Jaroslav Zeleny - Czechia</t>
        </is>
      </c>
      <c r="G76" t="inlineStr">
        <is>
          <t>Base</t>
        </is>
      </c>
      <c r="I76" t="n">
        <v>0</v>
      </c>
    </row>
    <row r="77">
      <c r="A77">
        <f>CHOOSE(MATCH(Config!$B$2,{"PT";"EN"},0),"Seleção","Team")</f>
        <v/>
      </c>
      <c r="B77" t="inlineStr">
        <is>
          <t>Grupo A</t>
        </is>
      </c>
      <c r="C77" t="inlineStr">
        <is>
          <t>CZE</t>
        </is>
      </c>
      <c r="D77" t="inlineStr">
        <is>
          <t>Czechia</t>
        </is>
      </c>
      <c r="E77" t="inlineStr">
        <is>
          <t>CZE7</t>
        </is>
      </c>
      <c r="F77" t="inlineStr">
        <is>
          <t>Tomas Holes - Czechia</t>
        </is>
      </c>
      <c r="G77" t="inlineStr">
        <is>
          <t>Base</t>
        </is>
      </c>
      <c r="I77" t="n">
        <v>0</v>
      </c>
    </row>
    <row r="78">
      <c r="A78">
        <f>CHOOSE(MATCH(Config!$B$2,{"PT";"EN"},0),"Seleção","Team")</f>
        <v/>
      </c>
      <c r="B78" t="inlineStr">
        <is>
          <t>Grupo A</t>
        </is>
      </c>
      <c r="C78" t="inlineStr">
        <is>
          <t>CZE</t>
        </is>
      </c>
      <c r="D78" t="inlineStr">
        <is>
          <t>Czechia</t>
        </is>
      </c>
      <c r="E78" t="inlineStr">
        <is>
          <t>CZE8</t>
        </is>
      </c>
      <c r="F78" t="inlineStr">
        <is>
          <t>David Zima - Czechia</t>
        </is>
      </c>
      <c r="G78" t="inlineStr">
        <is>
          <t>Base</t>
        </is>
      </c>
      <c r="I78" t="n">
        <v>0</v>
      </c>
    </row>
    <row r="79">
      <c r="A79">
        <f>CHOOSE(MATCH(Config!$B$2,{"PT";"EN"},0),"Seleção","Team")</f>
        <v/>
      </c>
      <c r="B79" t="inlineStr">
        <is>
          <t>Grupo A</t>
        </is>
      </c>
      <c r="C79" t="inlineStr">
        <is>
          <t>CZE</t>
        </is>
      </c>
      <c r="D79" t="inlineStr">
        <is>
          <t>Czechia</t>
        </is>
      </c>
      <c r="E79" t="inlineStr">
        <is>
          <t>CZE9</t>
        </is>
      </c>
      <c r="F79" t="inlineStr">
        <is>
          <t>Michal Sadilek - Czechia</t>
        </is>
      </c>
      <c r="G79" t="inlineStr">
        <is>
          <t>Base</t>
        </is>
      </c>
      <c r="I79" t="n">
        <v>0</v>
      </c>
    </row>
    <row r="80">
      <c r="A80">
        <f>CHOOSE(MATCH(Config!$B$2,{"PT";"EN"},0),"Seleção","Team")</f>
        <v/>
      </c>
      <c r="B80" t="inlineStr">
        <is>
          <t>Grupo A</t>
        </is>
      </c>
      <c r="C80" t="inlineStr">
        <is>
          <t>CZE</t>
        </is>
      </c>
      <c r="D80" t="inlineStr">
        <is>
          <t>Czechia</t>
        </is>
      </c>
      <c r="E80" t="inlineStr">
        <is>
          <t>CZE10</t>
        </is>
      </c>
      <c r="F80" t="inlineStr">
        <is>
          <t>Lukas Provod - Czechia</t>
        </is>
      </c>
      <c r="G80" t="inlineStr">
        <is>
          <t>Base</t>
        </is>
      </c>
      <c r="I80" t="n">
        <v>0</v>
      </c>
    </row>
    <row r="81">
      <c r="A81">
        <f>CHOOSE(MATCH(Config!$B$2,{"PT";"EN"},0),"Seleção","Team")</f>
        <v/>
      </c>
      <c r="B81" t="inlineStr">
        <is>
          <t>Grupo A</t>
        </is>
      </c>
      <c r="C81" t="inlineStr">
        <is>
          <t>CZE</t>
        </is>
      </c>
      <c r="D81" t="inlineStr">
        <is>
          <t>Czechia</t>
        </is>
      </c>
      <c r="E81" t="inlineStr">
        <is>
          <t>CZE11</t>
        </is>
      </c>
      <c r="F81" t="inlineStr">
        <is>
          <t>Lukas Cerv - Czechia</t>
        </is>
      </c>
      <c r="G81" t="inlineStr">
        <is>
          <t>Base</t>
        </is>
      </c>
      <c r="I81" t="n">
        <v>0</v>
      </c>
    </row>
    <row r="82">
      <c r="A82">
        <f>CHOOSE(MATCH(Config!$B$2,{"PT";"EN"},0),"Seleção","Team")</f>
        <v/>
      </c>
      <c r="B82" t="inlineStr">
        <is>
          <t>Grupo A</t>
        </is>
      </c>
      <c r="C82" t="inlineStr">
        <is>
          <t>CZE</t>
        </is>
      </c>
      <c r="D82" t="inlineStr">
        <is>
          <t>Czechia</t>
        </is>
      </c>
      <c r="E82" t="inlineStr">
        <is>
          <t>CZE12</t>
        </is>
      </c>
      <c r="F82" t="inlineStr">
        <is>
          <t>Tomas Soucek - Czechia</t>
        </is>
      </c>
      <c r="G82" t="inlineStr">
        <is>
          <t>Base</t>
        </is>
      </c>
      <c r="I82" t="n">
        <v>0</v>
      </c>
    </row>
    <row r="83">
      <c r="A83">
        <f>CHOOSE(MATCH(Config!$B$2,{"PT";"EN"},0),"Seleção","Team")</f>
        <v/>
      </c>
      <c r="B83" t="inlineStr">
        <is>
          <t>Grupo A</t>
        </is>
      </c>
      <c r="C83" t="inlineStr">
        <is>
          <t>CZE</t>
        </is>
      </c>
      <c r="D83" t="inlineStr">
        <is>
          <t>Czechia</t>
        </is>
      </c>
      <c r="E83" t="inlineStr">
        <is>
          <t>CZE13</t>
        </is>
      </c>
      <c r="F83" t="inlineStr">
        <is>
          <t>Team Photo - Czechia</t>
        </is>
      </c>
      <c r="G83" t="inlineStr">
        <is>
          <t>Base</t>
        </is>
      </c>
      <c r="I83" t="n">
        <v>0</v>
      </c>
    </row>
    <row r="84">
      <c r="A84">
        <f>CHOOSE(MATCH(Config!$B$2,{"PT";"EN"},0),"Seleção","Team")</f>
        <v/>
      </c>
      <c r="B84" t="inlineStr">
        <is>
          <t>Grupo A</t>
        </is>
      </c>
      <c r="C84" t="inlineStr">
        <is>
          <t>CZE</t>
        </is>
      </c>
      <c r="D84" t="inlineStr">
        <is>
          <t>Czechia</t>
        </is>
      </c>
      <c r="E84" t="inlineStr">
        <is>
          <t>CZE14</t>
        </is>
      </c>
      <c r="F84" t="inlineStr">
        <is>
          <t>Pavel Sulc - Czechia</t>
        </is>
      </c>
      <c r="G84" t="inlineStr">
        <is>
          <t>Base</t>
        </is>
      </c>
      <c r="I84" t="n">
        <v>0</v>
      </c>
    </row>
    <row r="85">
      <c r="A85">
        <f>CHOOSE(MATCH(Config!$B$2,{"PT";"EN"},0),"Seleção","Team")</f>
        <v/>
      </c>
      <c r="B85" t="inlineStr">
        <is>
          <t>Grupo A</t>
        </is>
      </c>
      <c r="C85" t="inlineStr">
        <is>
          <t>CZE</t>
        </is>
      </c>
      <c r="D85" t="inlineStr">
        <is>
          <t>Czechia</t>
        </is>
      </c>
      <c r="E85" t="inlineStr">
        <is>
          <t>CZE15</t>
        </is>
      </c>
      <c r="F85" t="inlineStr">
        <is>
          <t>Matej Vydra - Czechia</t>
        </is>
      </c>
      <c r="G85" t="inlineStr">
        <is>
          <t>Base</t>
        </is>
      </c>
      <c r="I85" t="n">
        <v>0</v>
      </c>
    </row>
    <row r="86">
      <c r="A86">
        <f>CHOOSE(MATCH(Config!$B$2,{"PT";"EN"},0),"Seleção","Team")</f>
        <v/>
      </c>
      <c r="B86" t="inlineStr">
        <is>
          <t>Grupo A</t>
        </is>
      </c>
      <c r="C86" t="inlineStr">
        <is>
          <t>CZE</t>
        </is>
      </c>
      <c r="D86" t="inlineStr">
        <is>
          <t>Czechia</t>
        </is>
      </c>
      <c r="E86" t="inlineStr">
        <is>
          <t>CZE16</t>
        </is>
      </c>
      <c r="F86" t="inlineStr">
        <is>
          <t>Vasil Kusej - Czechia</t>
        </is>
      </c>
      <c r="G86" t="inlineStr">
        <is>
          <t>Base</t>
        </is>
      </c>
      <c r="I86" t="n">
        <v>0</v>
      </c>
    </row>
    <row r="87">
      <c r="A87">
        <f>CHOOSE(MATCH(Config!$B$2,{"PT";"EN"},0),"Seleção","Team")</f>
        <v/>
      </c>
      <c r="B87" t="inlineStr">
        <is>
          <t>Grupo A</t>
        </is>
      </c>
      <c r="C87" t="inlineStr">
        <is>
          <t>CZE</t>
        </is>
      </c>
      <c r="D87" t="inlineStr">
        <is>
          <t>Czechia</t>
        </is>
      </c>
      <c r="E87" t="inlineStr">
        <is>
          <t>CZE17</t>
        </is>
      </c>
      <c r="F87" t="inlineStr">
        <is>
          <t>Tomas Chory - Czechia</t>
        </is>
      </c>
      <c r="G87" t="inlineStr">
        <is>
          <t>Base</t>
        </is>
      </c>
      <c r="I87" t="n">
        <v>0</v>
      </c>
    </row>
    <row r="88">
      <c r="A88">
        <f>CHOOSE(MATCH(Config!$B$2,{"PT";"EN"},0),"Seleção","Team")</f>
        <v/>
      </c>
      <c r="B88" t="inlineStr">
        <is>
          <t>Grupo A</t>
        </is>
      </c>
      <c r="C88" t="inlineStr">
        <is>
          <t>CZE</t>
        </is>
      </c>
      <c r="D88" t="inlineStr">
        <is>
          <t>Czechia</t>
        </is>
      </c>
      <c r="E88" t="inlineStr">
        <is>
          <t>CZE18</t>
        </is>
      </c>
      <c r="F88" t="inlineStr">
        <is>
          <t>Vaclav Cerny - Czechia</t>
        </is>
      </c>
      <c r="G88" t="inlineStr">
        <is>
          <t>Base</t>
        </is>
      </c>
      <c r="I88" t="n">
        <v>0</v>
      </c>
    </row>
    <row r="89">
      <c r="A89">
        <f>CHOOSE(MATCH(Config!$B$2,{"PT";"EN"},0),"Seleção","Team")</f>
        <v/>
      </c>
      <c r="B89" t="inlineStr">
        <is>
          <t>Grupo A</t>
        </is>
      </c>
      <c r="C89" t="inlineStr">
        <is>
          <t>CZE</t>
        </is>
      </c>
      <c r="D89" t="inlineStr">
        <is>
          <t>Czechia</t>
        </is>
      </c>
      <c r="E89" t="inlineStr">
        <is>
          <t>CZE19</t>
        </is>
      </c>
      <c r="F89" t="inlineStr">
        <is>
          <t>Adam Hlozek - Czechia</t>
        </is>
      </c>
      <c r="G89" t="inlineStr">
        <is>
          <t>Base</t>
        </is>
      </c>
      <c r="I89" t="n">
        <v>0</v>
      </c>
    </row>
    <row r="90">
      <c r="A90">
        <f>CHOOSE(MATCH(Config!$B$2,{"PT";"EN"},0),"Seleção","Team")</f>
        <v/>
      </c>
      <c r="B90" t="inlineStr">
        <is>
          <t>Grupo A</t>
        </is>
      </c>
      <c r="C90" t="inlineStr">
        <is>
          <t>CZE</t>
        </is>
      </c>
      <c r="D90" t="inlineStr">
        <is>
          <t>Czechia</t>
        </is>
      </c>
      <c r="E90" t="inlineStr">
        <is>
          <t>CZE20</t>
        </is>
      </c>
      <c r="F90" t="inlineStr">
        <is>
          <t>Patrik Schick - Czechia</t>
        </is>
      </c>
      <c r="G90" t="inlineStr">
        <is>
          <t>Base</t>
        </is>
      </c>
      <c r="I90" t="n">
        <v>0</v>
      </c>
    </row>
    <row r="91">
      <c r="A91">
        <f>CHOOSE(MATCH(Config!$B$2,{"PT";"EN"},0),"Seleção","Team")</f>
        <v/>
      </c>
      <c r="B91" t="inlineStr">
        <is>
          <t>Grupo B</t>
        </is>
      </c>
      <c r="C91" t="inlineStr">
        <is>
          <t>CAN</t>
        </is>
      </c>
      <c r="D91" t="inlineStr">
        <is>
          <t>Canada</t>
        </is>
      </c>
      <c r="E91" t="inlineStr">
        <is>
          <t>CAN1</t>
        </is>
      </c>
      <c r="F91" t="inlineStr">
        <is>
          <t>Team Logo - Canada FOIL</t>
        </is>
      </c>
      <c r="G91" t="inlineStr">
        <is>
          <t>FOIL</t>
        </is>
      </c>
      <c r="I91" t="n">
        <v>0</v>
      </c>
    </row>
    <row r="92">
      <c r="A92">
        <f>CHOOSE(MATCH(Config!$B$2,{"PT";"EN"},0),"Seleção","Team")</f>
        <v/>
      </c>
      <c r="B92" t="inlineStr">
        <is>
          <t>Grupo B</t>
        </is>
      </c>
      <c r="C92" t="inlineStr">
        <is>
          <t>CAN</t>
        </is>
      </c>
      <c r="D92" t="inlineStr">
        <is>
          <t>Canada</t>
        </is>
      </c>
      <c r="E92" t="inlineStr">
        <is>
          <t>CAN2</t>
        </is>
      </c>
      <c r="F92" t="inlineStr">
        <is>
          <t>Dayne St.Clair - Canada</t>
        </is>
      </c>
      <c r="G92" t="inlineStr">
        <is>
          <t>Base</t>
        </is>
      </c>
      <c r="I92" t="n">
        <v>0</v>
      </c>
    </row>
    <row r="93">
      <c r="A93">
        <f>CHOOSE(MATCH(Config!$B$2,{"PT";"EN"},0),"Seleção","Team")</f>
        <v/>
      </c>
      <c r="B93" t="inlineStr">
        <is>
          <t>Grupo B</t>
        </is>
      </c>
      <c r="C93" t="inlineStr">
        <is>
          <t>CAN</t>
        </is>
      </c>
      <c r="D93" t="inlineStr">
        <is>
          <t>Canada</t>
        </is>
      </c>
      <c r="E93" t="inlineStr">
        <is>
          <t>CAN3</t>
        </is>
      </c>
      <c r="F93" t="inlineStr">
        <is>
          <t>Alphonso Davies - Canada</t>
        </is>
      </c>
      <c r="G93" t="inlineStr">
        <is>
          <t>Base</t>
        </is>
      </c>
      <c r="I93" t="n">
        <v>0</v>
      </c>
    </row>
    <row r="94">
      <c r="A94">
        <f>CHOOSE(MATCH(Config!$B$2,{"PT";"EN"},0),"Seleção","Team")</f>
        <v/>
      </c>
      <c r="B94" t="inlineStr">
        <is>
          <t>Grupo B</t>
        </is>
      </c>
      <c r="C94" t="inlineStr">
        <is>
          <t>CAN</t>
        </is>
      </c>
      <c r="D94" t="inlineStr">
        <is>
          <t>Canada</t>
        </is>
      </c>
      <c r="E94" t="inlineStr">
        <is>
          <t>CAN4</t>
        </is>
      </c>
      <c r="F94" t="inlineStr">
        <is>
          <t>Alistair Johnston - Canada</t>
        </is>
      </c>
      <c r="G94" t="inlineStr">
        <is>
          <t>Base</t>
        </is>
      </c>
      <c r="I94" t="n">
        <v>0</v>
      </c>
    </row>
    <row r="95">
      <c r="A95">
        <f>CHOOSE(MATCH(Config!$B$2,{"PT";"EN"},0),"Seleção","Team")</f>
        <v/>
      </c>
      <c r="B95" t="inlineStr">
        <is>
          <t>Grupo B</t>
        </is>
      </c>
      <c r="C95" t="inlineStr">
        <is>
          <t>CAN</t>
        </is>
      </c>
      <c r="D95" t="inlineStr">
        <is>
          <t>Canada</t>
        </is>
      </c>
      <c r="E95" t="inlineStr">
        <is>
          <t>CAN5</t>
        </is>
      </c>
      <c r="F95" t="inlineStr">
        <is>
          <t>Samuel Adekugbe - Canada</t>
        </is>
      </c>
      <c r="G95" t="inlineStr">
        <is>
          <t>Base</t>
        </is>
      </c>
      <c r="I95" t="n">
        <v>0</v>
      </c>
    </row>
    <row r="96">
      <c r="A96">
        <f>CHOOSE(MATCH(Config!$B$2,{"PT";"EN"},0),"Seleção","Team")</f>
        <v/>
      </c>
      <c r="B96" t="inlineStr">
        <is>
          <t>Grupo B</t>
        </is>
      </c>
      <c r="C96" t="inlineStr">
        <is>
          <t>CAN</t>
        </is>
      </c>
      <c r="D96" t="inlineStr">
        <is>
          <t>Canada</t>
        </is>
      </c>
      <c r="E96" t="inlineStr">
        <is>
          <t>CAN6</t>
        </is>
      </c>
      <c r="F96" t="inlineStr">
        <is>
          <t>Riche Larvea - Canada</t>
        </is>
      </c>
      <c r="G96" t="inlineStr">
        <is>
          <t>Base</t>
        </is>
      </c>
      <c r="I96" t="n">
        <v>0</v>
      </c>
    </row>
    <row r="97">
      <c r="A97">
        <f>CHOOSE(MATCH(Config!$B$2,{"PT";"EN"},0),"Seleção","Team")</f>
        <v/>
      </c>
      <c r="B97" t="inlineStr">
        <is>
          <t>Grupo B</t>
        </is>
      </c>
      <c r="C97" t="inlineStr">
        <is>
          <t>CAN</t>
        </is>
      </c>
      <c r="D97" t="inlineStr">
        <is>
          <t>Canada</t>
        </is>
      </c>
      <c r="E97" t="inlineStr">
        <is>
          <t>CAN7</t>
        </is>
      </c>
      <c r="F97" t="inlineStr">
        <is>
          <t>Derek Cornelius - Canada</t>
        </is>
      </c>
      <c r="G97" t="inlineStr">
        <is>
          <t>Base</t>
        </is>
      </c>
      <c r="I97" t="n">
        <v>0</v>
      </c>
    </row>
    <row r="98">
      <c r="A98">
        <f>CHOOSE(MATCH(Config!$B$2,{"PT";"EN"},0),"Seleção","Team")</f>
        <v/>
      </c>
      <c r="B98" t="inlineStr">
        <is>
          <t>Grupo B</t>
        </is>
      </c>
      <c r="C98" t="inlineStr">
        <is>
          <t>CAN</t>
        </is>
      </c>
      <c r="D98" t="inlineStr">
        <is>
          <t>Canada</t>
        </is>
      </c>
      <c r="E98" t="inlineStr">
        <is>
          <t>CAN8</t>
        </is>
      </c>
      <c r="F98" t="inlineStr">
        <is>
          <t>Moïse Bombito - Canada</t>
        </is>
      </c>
      <c r="G98" t="inlineStr">
        <is>
          <t>Base</t>
        </is>
      </c>
      <c r="I98" t="n">
        <v>0</v>
      </c>
    </row>
    <row r="99">
      <c r="A99">
        <f>CHOOSE(MATCH(Config!$B$2,{"PT";"EN"},0),"Seleção","Team")</f>
        <v/>
      </c>
      <c r="B99" t="inlineStr">
        <is>
          <t>Grupo B</t>
        </is>
      </c>
      <c r="C99" t="inlineStr">
        <is>
          <t>CAN</t>
        </is>
      </c>
      <c r="D99" t="inlineStr">
        <is>
          <t>Canada</t>
        </is>
      </c>
      <c r="E99" t="inlineStr">
        <is>
          <t>CAN9</t>
        </is>
      </c>
      <c r="F99" t="inlineStr">
        <is>
          <t>Kamal Miller - Canada</t>
        </is>
      </c>
      <c r="G99" t="inlineStr">
        <is>
          <t>Base</t>
        </is>
      </c>
      <c r="I99" t="n">
        <v>0</v>
      </c>
    </row>
    <row r="100">
      <c r="A100">
        <f>CHOOSE(MATCH(Config!$B$2,{"PT";"EN"},0),"Seleção","Team")</f>
        <v/>
      </c>
      <c r="B100" t="inlineStr">
        <is>
          <t>Grupo B</t>
        </is>
      </c>
      <c r="C100" t="inlineStr">
        <is>
          <t>CAN</t>
        </is>
      </c>
      <c r="D100" t="inlineStr">
        <is>
          <t>Canada</t>
        </is>
      </c>
      <c r="E100" t="inlineStr">
        <is>
          <t>CAN10</t>
        </is>
      </c>
      <c r="F100" t="inlineStr">
        <is>
          <t>Stephen Eustáquio - Canada</t>
        </is>
      </c>
      <c r="G100" t="inlineStr">
        <is>
          <t>Base</t>
        </is>
      </c>
      <c r="I100" t="n">
        <v>0</v>
      </c>
    </row>
    <row r="101">
      <c r="A101">
        <f>CHOOSE(MATCH(Config!$B$2,{"PT";"EN"},0),"Seleção","Team")</f>
        <v/>
      </c>
      <c r="B101" t="inlineStr">
        <is>
          <t>Grupo B</t>
        </is>
      </c>
      <c r="C101" t="inlineStr">
        <is>
          <t>CAN</t>
        </is>
      </c>
      <c r="D101" t="inlineStr">
        <is>
          <t>Canada</t>
        </is>
      </c>
      <c r="E101" t="inlineStr">
        <is>
          <t>CAN11</t>
        </is>
      </c>
      <c r="F101" t="inlineStr">
        <is>
          <t>Ismaël Koné - Canada</t>
        </is>
      </c>
      <c r="G101" t="inlineStr">
        <is>
          <t>Base</t>
        </is>
      </c>
      <c r="I101" t="n">
        <v>0</v>
      </c>
    </row>
    <row r="102">
      <c r="A102">
        <f>CHOOSE(MATCH(Config!$B$2,{"PT";"EN"},0),"Seleção","Team")</f>
        <v/>
      </c>
      <c r="B102" t="inlineStr">
        <is>
          <t>Grupo B</t>
        </is>
      </c>
      <c r="C102" t="inlineStr">
        <is>
          <t>CAN</t>
        </is>
      </c>
      <c r="D102" t="inlineStr">
        <is>
          <t>Canada</t>
        </is>
      </c>
      <c r="E102" t="inlineStr">
        <is>
          <t>CAN12</t>
        </is>
      </c>
      <c r="F102" t="inlineStr">
        <is>
          <t>Jonathan Osorio - Canada</t>
        </is>
      </c>
      <c r="G102" t="inlineStr">
        <is>
          <t>Base</t>
        </is>
      </c>
      <c r="I102" t="n">
        <v>0</v>
      </c>
    </row>
    <row r="103">
      <c r="A103">
        <f>CHOOSE(MATCH(Config!$B$2,{"PT";"EN"},0),"Seleção","Team")</f>
        <v/>
      </c>
      <c r="B103" t="inlineStr">
        <is>
          <t>Grupo B</t>
        </is>
      </c>
      <c r="C103" t="inlineStr">
        <is>
          <t>CAN</t>
        </is>
      </c>
      <c r="D103" t="inlineStr">
        <is>
          <t>Canada</t>
        </is>
      </c>
      <c r="E103" t="inlineStr">
        <is>
          <t>CAN13</t>
        </is>
      </c>
      <c r="F103" t="inlineStr">
        <is>
          <t>Team Photo - Canada</t>
        </is>
      </c>
      <c r="G103" t="inlineStr">
        <is>
          <t>Base</t>
        </is>
      </c>
      <c r="I103" t="n">
        <v>0</v>
      </c>
    </row>
    <row r="104">
      <c r="A104">
        <f>CHOOSE(MATCH(Config!$B$2,{"PT";"EN"},0),"Seleção","Team")</f>
        <v/>
      </c>
      <c r="B104" t="inlineStr">
        <is>
          <t>Grupo B</t>
        </is>
      </c>
      <c r="C104" t="inlineStr">
        <is>
          <t>CAN</t>
        </is>
      </c>
      <c r="D104" t="inlineStr">
        <is>
          <t>Canada</t>
        </is>
      </c>
      <c r="E104" t="inlineStr">
        <is>
          <t>CAN14</t>
        </is>
      </c>
      <c r="F104" t="inlineStr">
        <is>
          <t>Jacob Shaffelburg - Canada</t>
        </is>
      </c>
      <c r="G104" t="inlineStr">
        <is>
          <t>Base</t>
        </is>
      </c>
      <c r="I104" t="n">
        <v>0</v>
      </c>
    </row>
    <row r="105">
      <c r="A105">
        <f>CHOOSE(MATCH(Config!$B$2,{"PT";"EN"},0),"Seleção","Team")</f>
        <v/>
      </c>
      <c r="B105" t="inlineStr">
        <is>
          <t>Grupo B</t>
        </is>
      </c>
      <c r="C105" t="inlineStr">
        <is>
          <t>CAN</t>
        </is>
      </c>
      <c r="D105" t="inlineStr">
        <is>
          <t>Canada</t>
        </is>
      </c>
      <c r="E105" t="inlineStr">
        <is>
          <t>CAN15</t>
        </is>
      </c>
      <c r="F105" t="inlineStr">
        <is>
          <t>Mathieu Choinière - Canada</t>
        </is>
      </c>
      <c r="G105" t="inlineStr">
        <is>
          <t>Base</t>
        </is>
      </c>
      <c r="I105" t="n">
        <v>0</v>
      </c>
    </row>
    <row r="106">
      <c r="A106">
        <f>CHOOSE(MATCH(Config!$B$2,{"PT";"EN"},0),"Seleção","Team")</f>
        <v/>
      </c>
      <c r="B106" t="inlineStr">
        <is>
          <t>Grupo B</t>
        </is>
      </c>
      <c r="C106" t="inlineStr">
        <is>
          <t>CAN</t>
        </is>
      </c>
      <c r="D106" t="inlineStr">
        <is>
          <t>Canada</t>
        </is>
      </c>
      <c r="E106" t="inlineStr">
        <is>
          <t>CAN16</t>
        </is>
      </c>
      <c r="F106" t="inlineStr">
        <is>
          <t>Niko Sigur - Canada</t>
        </is>
      </c>
      <c r="G106" t="inlineStr">
        <is>
          <t>Base</t>
        </is>
      </c>
      <c r="I106" t="n">
        <v>0</v>
      </c>
    </row>
    <row r="107">
      <c r="A107">
        <f>CHOOSE(MATCH(Config!$B$2,{"PT";"EN"},0),"Seleção","Team")</f>
        <v/>
      </c>
      <c r="B107" t="inlineStr">
        <is>
          <t>Grupo B</t>
        </is>
      </c>
      <c r="C107" t="inlineStr">
        <is>
          <t>CAN</t>
        </is>
      </c>
      <c r="D107" t="inlineStr">
        <is>
          <t>Canada</t>
        </is>
      </c>
      <c r="E107" t="inlineStr">
        <is>
          <t>CAN17</t>
        </is>
      </c>
      <c r="F107" t="inlineStr">
        <is>
          <t>Tajon Buchanan - Canada</t>
        </is>
      </c>
      <c r="G107" t="inlineStr">
        <is>
          <t>Base</t>
        </is>
      </c>
      <c r="I107" t="n">
        <v>0</v>
      </c>
    </row>
    <row r="108">
      <c r="A108">
        <f>CHOOSE(MATCH(Config!$B$2,{"PT";"EN"},0),"Seleção","Team")</f>
        <v/>
      </c>
      <c r="B108" t="inlineStr">
        <is>
          <t>Grupo B</t>
        </is>
      </c>
      <c r="C108" t="inlineStr">
        <is>
          <t>CAN</t>
        </is>
      </c>
      <c r="D108" t="inlineStr">
        <is>
          <t>Canada</t>
        </is>
      </c>
      <c r="E108" t="inlineStr">
        <is>
          <t>CAN18</t>
        </is>
      </c>
      <c r="F108" t="inlineStr">
        <is>
          <t>Liam Millar - Canada</t>
        </is>
      </c>
      <c r="G108" t="inlineStr">
        <is>
          <t>Base</t>
        </is>
      </c>
      <c r="I108" t="n">
        <v>0</v>
      </c>
    </row>
    <row r="109">
      <c r="A109">
        <f>CHOOSE(MATCH(Config!$B$2,{"PT";"EN"},0),"Seleção","Team")</f>
        <v/>
      </c>
      <c r="B109" t="inlineStr">
        <is>
          <t>Grupo B</t>
        </is>
      </c>
      <c r="C109" t="inlineStr">
        <is>
          <t>CAN</t>
        </is>
      </c>
      <c r="D109" t="inlineStr">
        <is>
          <t>Canada</t>
        </is>
      </c>
      <c r="E109" t="inlineStr">
        <is>
          <t>CAN19</t>
        </is>
      </c>
      <c r="F109" t="inlineStr">
        <is>
          <t>Cyle Larin - Canada</t>
        </is>
      </c>
      <c r="G109" t="inlineStr">
        <is>
          <t>Base</t>
        </is>
      </c>
      <c r="I109" t="n">
        <v>0</v>
      </c>
    </row>
    <row r="110">
      <c r="A110">
        <f>CHOOSE(MATCH(Config!$B$2,{"PT";"EN"},0),"Seleção","Team")</f>
        <v/>
      </c>
      <c r="B110" t="inlineStr">
        <is>
          <t>Grupo B</t>
        </is>
      </c>
      <c r="C110" t="inlineStr">
        <is>
          <t>CAN</t>
        </is>
      </c>
      <c r="D110" t="inlineStr">
        <is>
          <t>Canada</t>
        </is>
      </c>
      <c r="E110" t="inlineStr">
        <is>
          <t>CAN20</t>
        </is>
      </c>
      <c r="F110" t="inlineStr">
        <is>
          <t>Jonathan David - Canada</t>
        </is>
      </c>
      <c r="G110" t="inlineStr">
        <is>
          <t>Base</t>
        </is>
      </c>
      <c r="I110" t="n">
        <v>0</v>
      </c>
    </row>
    <row r="111">
      <c r="A111">
        <f>CHOOSE(MATCH(Config!$B$2,{"PT";"EN"},0),"Seleção","Team")</f>
        <v/>
      </c>
      <c r="B111" t="inlineStr">
        <is>
          <t>Grupo B</t>
        </is>
      </c>
      <c r="C111" t="inlineStr">
        <is>
          <t>BIH</t>
        </is>
      </c>
      <c r="D111" t="inlineStr">
        <is>
          <t>Bosnia and Herzegovina</t>
        </is>
      </c>
      <c r="E111" t="inlineStr">
        <is>
          <t>BIH1</t>
        </is>
      </c>
      <c r="F111" t="inlineStr">
        <is>
          <t>Team Logo - Bosnia and Herzegovina FOIL</t>
        </is>
      </c>
      <c r="G111" t="inlineStr">
        <is>
          <t>FOIL</t>
        </is>
      </c>
      <c r="I111" t="n">
        <v>0</v>
      </c>
    </row>
    <row r="112">
      <c r="A112">
        <f>CHOOSE(MATCH(Config!$B$2,{"PT";"EN"},0),"Seleção","Team")</f>
        <v/>
      </c>
      <c r="B112" t="inlineStr">
        <is>
          <t>Grupo B</t>
        </is>
      </c>
      <c r="C112" t="inlineStr">
        <is>
          <t>BIH</t>
        </is>
      </c>
      <c r="D112" t="inlineStr">
        <is>
          <t>Bosnia and Herzegovina</t>
        </is>
      </c>
      <c r="E112" t="inlineStr">
        <is>
          <t>BIH2</t>
        </is>
      </c>
      <c r="F112" t="inlineStr">
        <is>
          <t>Nikola Vasilj - Bosnia and Herzegovina</t>
        </is>
      </c>
      <c r="G112" t="inlineStr">
        <is>
          <t>Base</t>
        </is>
      </c>
      <c r="I112" t="n">
        <v>0</v>
      </c>
    </row>
    <row r="113">
      <c r="A113">
        <f>CHOOSE(MATCH(Config!$B$2,{"PT";"EN"},0),"Seleção","Team")</f>
        <v/>
      </c>
      <c r="B113" t="inlineStr">
        <is>
          <t>Grupo B</t>
        </is>
      </c>
      <c r="C113" t="inlineStr">
        <is>
          <t>BIH</t>
        </is>
      </c>
      <c r="D113" t="inlineStr">
        <is>
          <t>Bosnia and Herzegovina</t>
        </is>
      </c>
      <c r="E113" t="inlineStr">
        <is>
          <t>BIH3</t>
        </is>
      </c>
      <c r="F113" t="inlineStr">
        <is>
          <t>Amer Dedic - Bosnia and Herzegovina</t>
        </is>
      </c>
      <c r="G113" t="inlineStr">
        <is>
          <t>Base</t>
        </is>
      </c>
      <c r="I113" t="n">
        <v>0</v>
      </c>
    </row>
    <row r="114">
      <c r="A114">
        <f>CHOOSE(MATCH(Config!$B$2,{"PT";"EN"},0),"Seleção","Team")</f>
        <v/>
      </c>
      <c r="B114" t="inlineStr">
        <is>
          <t>Grupo B</t>
        </is>
      </c>
      <c r="C114" t="inlineStr">
        <is>
          <t>BIH</t>
        </is>
      </c>
      <c r="D114" t="inlineStr">
        <is>
          <t>Bosnia and Herzegovina</t>
        </is>
      </c>
      <c r="E114" t="inlineStr">
        <is>
          <t>BIH4</t>
        </is>
      </c>
      <c r="F114" t="inlineStr">
        <is>
          <t>Sead Kolasinac - Bosnia and Herzegovina</t>
        </is>
      </c>
      <c r="G114" t="inlineStr">
        <is>
          <t>Base</t>
        </is>
      </c>
      <c r="I114" t="n">
        <v>0</v>
      </c>
    </row>
    <row r="115">
      <c r="A115">
        <f>CHOOSE(MATCH(Config!$B$2,{"PT";"EN"},0),"Seleção","Team")</f>
        <v/>
      </c>
      <c r="B115" t="inlineStr">
        <is>
          <t>Grupo B</t>
        </is>
      </c>
      <c r="C115" t="inlineStr">
        <is>
          <t>BIH</t>
        </is>
      </c>
      <c r="D115" t="inlineStr">
        <is>
          <t>Bosnia and Herzegovina</t>
        </is>
      </c>
      <c r="E115" t="inlineStr">
        <is>
          <t>BIH5</t>
        </is>
      </c>
      <c r="F115" t="inlineStr">
        <is>
          <t>Tarik Muharemovic - Bosnia and Herzegovina</t>
        </is>
      </c>
      <c r="G115" t="inlineStr">
        <is>
          <t>Base</t>
        </is>
      </c>
      <c r="I115" t="n">
        <v>0</v>
      </c>
    </row>
    <row r="116">
      <c r="A116">
        <f>CHOOSE(MATCH(Config!$B$2,{"PT";"EN"},0),"Seleção","Team")</f>
        <v/>
      </c>
      <c r="B116" t="inlineStr">
        <is>
          <t>Grupo B</t>
        </is>
      </c>
      <c r="C116" t="inlineStr">
        <is>
          <t>BIH</t>
        </is>
      </c>
      <c r="D116" t="inlineStr">
        <is>
          <t>Bosnia and Herzegovina</t>
        </is>
      </c>
      <c r="E116" t="inlineStr">
        <is>
          <t>BIH6</t>
        </is>
      </c>
      <c r="F116" t="inlineStr">
        <is>
          <t>Nihad Mujakic - Bosnia and Herzegovina</t>
        </is>
      </c>
      <c r="G116" t="inlineStr">
        <is>
          <t>Base</t>
        </is>
      </c>
      <c r="I116" t="n">
        <v>0</v>
      </c>
    </row>
    <row r="117">
      <c r="A117">
        <f>CHOOSE(MATCH(Config!$B$2,{"PT";"EN"},0),"Seleção","Team")</f>
        <v/>
      </c>
      <c r="B117" t="inlineStr">
        <is>
          <t>Grupo B</t>
        </is>
      </c>
      <c r="C117" t="inlineStr">
        <is>
          <t>BIH</t>
        </is>
      </c>
      <c r="D117" t="inlineStr">
        <is>
          <t>Bosnia and Herzegovina</t>
        </is>
      </c>
      <c r="E117" t="inlineStr">
        <is>
          <t>BIH7</t>
        </is>
      </c>
      <c r="F117" t="inlineStr">
        <is>
          <t>Nikola Katic - Bosnia and Herzegovina</t>
        </is>
      </c>
      <c r="G117" t="inlineStr">
        <is>
          <t>Base</t>
        </is>
      </c>
      <c r="I117" t="n">
        <v>0</v>
      </c>
    </row>
    <row r="118">
      <c r="A118">
        <f>CHOOSE(MATCH(Config!$B$2,{"PT";"EN"},0),"Seleção","Team")</f>
        <v/>
      </c>
      <c r="B118" t="inlineStr">
        <is>
          <t>Grupo B</t>
        </is>
      </c>
      <c r="C118" t="inlineStr">
        <is>
          <t>BIH</t>
        </is>
      </c>
      <c r="D118" t="inlineStr">
        <is>
          <t>Bosnia and Herzegovina</t>
        </is>
      </c>
      <c r="E118" t="inlineStr">
        <is>
          <t>BIH8</t>
        </is>
      </c>
      <c r="F118" t="inlineStr">
        <is>
          <t>Amir Hadziahmetovic - Bosnia and Herzegovina</t>
        </is>
      </c>
      <c r="G118" t="inlineStr">
        <is>
          <t>Base</t>
        </is>
      </c>
      <c r="I118" t="n">
        <v>0</v>
      </c>
    </row>
    <row r="119">
      <c r="A119">
        <f>CHOOSE(MATCH(Config!$B$2,{"PT";"EN"},0),"Seleção","Team")</f>
        <v/>
      </c>
      <c r="B119" t="inlineStr">
        <is>
          <t>Grupo B</t>
        </is>
      </c>
      <c r="C119" t="inlineStr">
        <is>
          <t>BIH</t>
        </is>
      </c>
      <c r="D119" t="inlineStr">
        <is>
          <t>Bosnia and Herzegovina</t>
        </is>
      </c>
      <c r="E119" t="inlineStr">
        <is>
          <t>BIH9</t>
        </is>
      </c>
      <c r="F119" t="inlineStr">
        <is>
          <t>Benjamin Tahirovic - Bosnia and Herzegovina</t>
        </is>
      </c>
      <c r="G119" t="inlineStr">
        <is>
          <t>Base</t>
        </is>
      </c>
      <c r="I119" t="n">
        <v>0</v>
      </c>
    </row>
    <row r="120">
      <c r="A120">
        <f>CHOOSE(MATCH(Config!$B$2,{"PT";"EN"},0),"Seleção","Team")</f>
        <v/>
      </c>
      <c r="B120" t="inlineStr">
        <is>
          <t>Grupo B</t>
        </is>
      </c>
      <c r="C120" t="inlineStr">
        <is>
          <t>BIH</t>
        </is>
      </c>
      <c r="D120" t="inlineStr">
        <is>
          <t>Bosnia and Herzegovina</t>
        </is>
      </c>
      <c r="E120" t="inlineStr">
        <is>
          <t>BIH10</t>
        </is>
      </c>
      <c r="F120" t="inlineStr">
        <is>
          <t>Armin Gigovic - Bosnia and Herzegovina</t>
        </is>
      </c>
      <c r="G120" t="inlineStr">
        <is>
          <t>Base</t>
        </is>
      </c>
      <c r="I120" t="n">
        <v>0</v>
      </c>
    </row>
    <row r="121">
      <c r="A121">
        <f>CHOOSE(MATCH(Config!$B$2,{"PT";"EN"},0),"Seleção","Team")</f>
        <v/>
      </c>
      <c r="B121" t="inlineStr">
        <is>
          <t>Grupo B</t>
        </is>
      </c>
      <c r="C121" t="inlineStr">
        <is>
          <t>BIH</t>
        </is>
      </c>
      <c r="D121" t="inlineStr">
        <is>
          <t>Bosnia and Herzegovina</t>
        </is>
      </c>
      <c r="E121" t="inlineStr">
        <is>
          <t>BIH11</t>
        </is>
      </c>
      <c r="F121" t="inlineStr">
        <is>
          <t>Ivan Sunjic - Bosnia and Herzegovina</t>
        </is>
      </c>
      <c r="G121" t="inlineStr">
        <is>
          <t>Base</t>
        </is>
      </c>
      <c r="I121" t="n">
        <v>0</v>
      </c>
    </row>
    <row r="122">
      <c r="A122">
        <f>CHOOSE(MATCH(Config!$B$2,{"PT";"EN"},0),"Seleção","Team")</f>
        <v/>
      </c>
      <c r="B122" t="inlineStr">
        <is>
          <t>Grupo B</t>
        </is>
      </c>
      <c r="C122" t="inlineStr">
        <is>
          <t>BIH</t>
        </is>
      </c>
      <c r="D122" t="inlineStr">
        <is>
          <t>Bosnia and Herzegovina</t>
        </is>
      </c>
      <c r="E122" t="inlineStr">
        <is>
          <t>BIH12</t>
        </is>
      </c>
      <c r="F122" t="inlineStr">
        <is>
          <t>Ivan Basic - Bosnia and Herzegovina</t>
        </is>
      </c>
      <c r="G122" t="inlineStr">
        <is>
          <t>Base</t>
        </is>
      </c>
      <c r="I122" t="n">
        <v>0</v>
      </c>
    </row>
    <row r="123">
      <c r="A123">
        <f>CHOOSE(MATCH(Config!$B$2,{"PT";"EN"},0),"Seleção","Team")</f>
        <v/>
      </c>
      <c r="B123" t="inlineStr">
        <is>
          <t>Grupo B</t>
        </is>
      </c>
      <c r="C123" t="inlineStr">
        <is>
          <t>BIH</t>
        </is>
      </c>
      <c r="D123" t="inlineStr">
        <is>
          <t>Bosnia and Herzegovina</t>
        </is>
      </c>
      <c r="E123" t="inlineStr">
        <is>
          <t>BIH13</t>
        </is>
      </c>
      <c r="F123" t="inlineStr">
        <is>
          <t>Team Photo - Bosnia and Herzegovina</t>
        </is>
      </c>
      <c r="G123" t="inlineStr">
        <is>
          <t>Base</t>
        </is>
      </c>
      <c r="I123" t="n">
        <v>0</v>
      </c>
    </row>
    <row r="124">
      <c r="A124">
        <f>CHOOSE(MATCH(Config!$B$2,{"PT";"EN"},0),"Seleção","Team")</f>
        <v/>
      </c>
      <c r="B124" t="inlineStr">
        <is>
          <t>Grupo B</t>
        </is>
      </c>
      <c r="C124" t="inlineStr">
        <is>
          <t>BIH</t>
        </is>
      </c>
      <c r="D124" t="inlineStr">
        <is>
          <t>Bosnia and Herzegovina</t>
        </is>
      </c>
      <c r="E124" t="inlineStr">
        <is>
          <t>BIH14</t>
        </is>
      </c>
      <c r="F124" t="inlineStr">
        <is>
          <t>Dzenis Burnic - Bosnia and Herzegovina</t>
        </is>
      </c>
      <c r="G124" t="inlineStr">
        <is>
          <t>Base</t>
        </is>
      </c>
      <c r="I124" t="n">
        <v>0</v>
      </c>
    </row>
    <row r="125">
      <c r="A125">
        <f>CHOOSE(MATCH(Config!$B$2,{"PT";"EN"},0),"Seleção","Team")</f>
        <v/>
      </c>
      <c r="B125" t="inlineStr">
        <is>
          <t>Grupo B</t>
        </is>
      </c>
      <c r="C125" t="inlineStr">
        <is>
          <t>BIH</t>
        </is>
      </c>
      <c r="D125" t="inlineStr">
        <is>
          <t>Bosnia and Herzegovina</t>
        </is>
      </c>
      <c r="E125" t="inlineStr">
        <is>
          <t>BIH15</t>
        </is>
      </c>
      <c r="F125" t="inlineStr">
        <is>
          <t>Esmir Bajraktarevic - Bosnia and Herzegovina</t>
        </is>
      </c>
      <c r="G125" t="inlineStr">
        <is>
          <t>Base</t>
        </is>
      </c>
      <c r="I125" t="n">
        <v>0</v>
      </c>
    </row>
    <row r="126">
      <c r="A126">
        <f>CHOOSE(MATCH(Config!$B$2,{"PT";"EN"},0),"Seleção","Team")</f>
        <v/>
      </c>
      <c r="B126" t="inlineStr">
        <is>
          <t>Grupo B</t>
        </is>
      </c>
      <c r="C126" t="inlineStr">
        <is>
          <t>BIH</t>
        </is>
      </c>
      <c r="D126" t="inlineStr">
        <is>
          <t>Bosnia and Herzegovina</t>
        </is>
      </c>
      <c r="E126" t="inlineStr">
        <is>
          <t>BIH16</t>
        </is>
      </c>
      <c r="F126" t="inlineStr">
        <is>
          <t>Amar Memic - Bosnia and Herzegovina</t>
        </is>
      </c>
      <c r="G126" t="inlineStr">
        <is>
          <t>Base</t>
        </is>
      </c>
      <c r="I126" t="n">
        <v>0</v>
      </c>
    </row>
    <row r="127">
      <c r="A127">
        <f>CHOOSE(MATCH(Config!$B$2,{"PT";"EN"},0),"Seleção","Team")</f>
        <v/>
      </c>
      <c r="B127" t="inlineStr">
        <is>
          <t>Grupo B</t>
        </is>
      </c>
      <c r="C127" t="inlineStr">
        <is>
          <t>BIH</t>
        </is>
      </c>
      <c r="D127" t="inlineStr">
        <is>
          <t>Bosnia and Herzegovina</t>
        </is>
      </c>
      <c r="E127" t="inlineStr">
        <is>
          <t>BIH17</t>
        </is>
      </c>
      <c r="F127" t="inlineStr">
        <is>
          <t>Ermedin Demirovic - Bosnia and Herzegovina</t>
        </is>
      </c>
      <c r="G127" t="inlineStr">
        <is>
          <t>Base</t>
        </is>
      </c>
      <c r="I127" t="n">
        <v>0</v>
      </c>
    </row>
    <row r="128">
      <c r="A128">
        <f>CHOOSE(MATCH(Config!$B$2,{"PT";"EN"},0),"Seleção","Team")</f>
        <v/>
      </c>
      <c r="B128" t="inlineStr">
        <is>
          <t>Grupo B</t>
        </is>
      </c>
      <c r="C128" t="inlineStr">
        <is>
          <t>BIH</t>
        </is>
      </c>
      <c r="D128" t="inlineStr">
        <is>
          <t>Bosnia and Herzegovina</t>
        </is>
      </c>
      <c r="E128" t="inlineStr">
        <is>
          <t>BIH18</t>
        </is>
      </c>
      <c r="F128" t="inlineStr">
        <is>
          <t>Edin Dzeko - Bosnia and Herzegovina</t>
        </is>
      </c>
      <c r="G128" t="inlineStr">
        <is>
          <t>Base</t>
        </is>
      </c>
      <c r="I128" t="n">
        <v>0</v>
      </c>
    </row>
    <row r="129">
      <c r="A129">
        <f>CHOOSE(MATCH(Config!$B$2,{"PT";"EN"},0),"Seleção","Team")</f>
        <v/>
      </c>
      <c r="B129" t="inlineStr">
        <is>
          <t>Grupo B</t>
        </is>
      </c>
      <c r="C129" t="inlineStr">
        <is>
          <t>BIH</t>
        </is>
      </c>
      <c r="D129" t="inlineStr">
        <is>
          <t>Bosnia and Herzegovina</t>
        </is>
      </c>
      <c r="E129" t="inlineStr">
        <is>
          <t>BIH19</t>
        </is>
      </c>
      <c r="F129" t="inlineStr">
        <is>
          <t>Samed Bazdar - Bosnia and Herzegovina</t>
        </is>
      </c>
      <c r="G129" t="inlineStr">
        <is>
          <t>Base</t>
        </is>
      </c>
      <c r="I129" t="n">
        <v>0</v>
      </c>
    </row>
    <row r="130">
      <c r="A130">
        <f>CHOOSE(MATCH(Config!$B$2,{"PT";"EN"},0),"Seleção","Team")</f>
        <v/>
      </c>
      <c r="B130" t="inlineStr">
        <is>
          <t>Grupo B</t>
        </is>
      </c>
      <c r="C130" t="inlineStr">
        <is>
          <t>BIH</t>
        </is>
      </c>
      <c r="D130" t="inlineStr">
        <is>
          <t>Bosnia and Herzegovina</t>
        </is>
      </c>
      <c r="E130" t="inlineStr">
        <is>
          <t>BIH20</t>
        </is>
      </c>
      <c r="F130" t="inlineStr">
        <is>
          <t>Haris Tabakovic - Bosnia and Herzegovina</t>
        </is>
      </c>
      <c r="G130" t="inlineStr">
        <is>
          <t>Base</t>
        </is>
      </c>
      <c r="I130" t="n">
        <v>0</v>
      </c>
    </row>
    <row r="131">
      <c r="A131">
        <f>CHOOSE(MATCH(Config!$B$2,{"PT";"EN"},0),"Seleção","Team")</f>
        <v/>
      </c>
      <c r="B131" t="inlineStr">
        <is>
          <t>Grupo B</t>
        </is>
      </c>
      <c r="C131" t="inlineStr">
        <is>
          <t>QAT</t>
        </is>
      </c>
      <c r="D131" t="inlineStr">
        <is>
          <t>Qatar</t>
        </is>
      </c>
      <c r="E131" t="inlineStr">
        <is>
          <t>QAT1</t>
        </is>
      </c>
      <c r="F131" t="inlineStr">
        <is>
          <t>Team Logo - Qatar FOIL</t>
        </is>
      </c>
      <c r="G131" t="inlineStr">
        <is>
          <t>FOIL</t>
        </is>
      </c>
      <c r="I131" t="n">
        <v>0</v>
      </c>
    </row>
    <row r="132">
      <c r="A132">
        <f>CHOOSE(MATCH(Config!$B$2,{"PT";"EN"},0),"Seleção","Team")</f>
        <v/>
      </c>
      <c r="B132" t="inlineStr">
        <is>
          <t>Grupo B</t>
        </is>
      </c>
      <c r="C132" t="inlineStr">
        <is>
          <t>QAT</t>
        </is>
      </c>
      <c r="D132" t="inlineStr">
        <is>
          <t>Qatar</t>
        </is>
      </c>
      <c r="E132" t="inlineStr">
        <is>
          <t>QAT2</t>
        </is>
      </c>
      <c r="F132" t="inlineStr">
        <is>
          <t>Meshaal Barsham - Qatar</t>
        </is>
      </c>
      <c r="G132" t="inlineStr">
        <is>
          <t>Base</t>
        </is>
      </c>
      <c r="I132" t="n">
        <v>0</v>
      </c>
    </row>
    <row r="133">
      <c r="A133">
        <f>CHOOSE(MATCH(Config!$B$2,{"PT";"EN"},0),"Seleção","Team")</f>
        <v/>
      </c>
      <c r="B133" t="inlineStr">
        <is>
          <t>Grupo B</t>
        </is>
      </c>
      <c r="C133" t="inlineStr">
        <is>
          <t>QAT</t>
        </is>
      </c>
      <c r="D133" t="inlineStr">
        <is>
          <t>Qatar</t>
        </is>
      </c>
      <c r="E133" t="inlineStr">
        <is>
          <t>QAT3</t>
        </is>
      </c>
      <c r="F133" t="inlineStr">
        <is>
          <t>Sultan Albrake - Qatar</t>
        </is>
      </c>
      <c r="G133" t="inlineStr">
        <is>
          <t>Base</t>
        </is>
      </c>
      <c r="I133" t="n">
        <v>0</v>
      </c>
    </row>
    <row r="134">
      <c r="A134">
        <f>CHOOSE(MATCH(Config!$B$2,{"PT";"EN"},0),"Seleção","Team")</f>
        <v/>
      </c>
      <c r="B134" t="inlineStr">
        <is>
          <t>Grupo B</t>
        </is>
      </c>
      <c r="C134" t="inlineStr">
        <is>
          <t>QAT</t>
        </is>
      </c>
      <c r="D134" t="inlineStr">
        <is>
          <t>Qatar</t>
        </is>
      </c>
      <c r="E134" t="inlineStr">
        <is>
          <t>QAT4</t>
        </is>
      </c>
      <c r="F134" t="inlineStr">
        <is>
          <t>Lucas Mendes - Qatar</t>
        </is>
      </c>
      <c r="G134" t="inlineStr">
        <is>
          <t>Base</t>
        </is>
      </c>
      <c r="I134" t="n">
        <v>0</v>
      </c>
    </row>
    <row r="135">
      <c r="A135">
        <f>CHOOSE(MATCH(Config!$B$2,{"PT";"EN"},0),"Seleção","Team")</f>
        <v/>
      </c>
      <c r="B135" t="inlineStr">
        <is>
          <t>Grupo B</t>
        </is>
      </c>
      <c r="C135" t="inlineStr">
        <is>
          <t>QAT</t>
        </is>
      </c>
      <c r="D135" t="inlineStr">
        <is>
          <t>Qatar</t>
        </is>
      </c>
      <c r="E135" t="inlineStr">
        <is>
          <t>QAT5</t>
        </is>
      </c>
      <c r="F135" t="inlineStr">
        <is>
          <t>Homam Ahmed - Qatar</t>
        </is>
      </c>
      <c r="G135" t="inlineStr">
        <is>
          <t>Base</t>
        </is>
      </c>
      <c r="I135" t="n">
        <v>0</v>
      </c>
    </row>
    <row r="136">
      <c r="A136">
        <f>CHOOSE(MATCH(Config!$B$2,{"PT";"EN"},0),"Seleção","Team")</f>
        <v/>
      </c>
      <c r="B136" t="inlineStr">
        <is>
          <t>Grupo B</t>
        </is>
      </c>
      <c r="C136" t="inlineStr">
        <is>
          <t>QAT</t>
        </is>
      </c>
      <c r="D136" t="inlineStr">
        <is>
          <t>Qatar</t>
        </is>
      </c>
      <c r="E136" t="inlineStr">
        <is>
          <t>QAT6</t>
        </is>
      </c>
      <c r="F136" t="inlineStr">
        <is>
          <t>Boualem Khoukhi - Qatar</t>
        </is>
      </c>
      <c r="G136" t="inlineStr">
        <is>
          <t>Base</t>
        </is>
      </c>
      <c r="I136" t="n">
        <v>0</v>
      </c>
    </row>
    <row r="137">
      <c r="A137">
        <f>CHOOSE(MATCH(Config!$B$2,{"PT";"EN"},0),"Seleção","Team")</f>
        <v/>
      </c>
      <c r="B137" t="inlineStr">
        <is>
          <t>Grupo B</t>
        </is>
      </c>
      <c r="C137" t="inlineStr">
        <is>
          <t>QAT</t>
        </is>
      </c>
      <c r="D137" t="inlineStr">
        <is>
          <t>Qatar</t>
        </is>
      </c>
      <c r="E137" t="inlineStr">
        <is>
          <t>QAT7</t>
        </is>
      </c>
      <c r="F137" t="inlineStr">
        <is>
          <t>Pedro Miguel - Qatar</t>
        </is>
      </c>
      <c r="G137" t="inlineStr">
        <is>
          <t>Base</t>
        </is>
      </c>
      <c r="I137" t="n">
        <v>0</v>
      </c>
    </row>
    <row r="138">
      <c r="A138">
        <f>CHOOSE(MATCH(Config!$B$2,{"PT";"EN"},0),"Seleção","Team")</f>
        <v/>
      </c>
      <c r="B138" t="inlineStr">
        <is>
          <t>Grupo B</t>
        </is>
      </c>
      <c r="C138" t="inlineStr">
        <is>
          <t>QAT</t>
        </is>
      </c>
      <c r="D138" t="inlineStr">
        <is>
          <t>Qatar</t>
        </is>
      </c>
      <c r="E138" t="inlineStr">
        <is>
          <t>QAT8</t>
        </is>
      </c>
      <c r="F138" t="inlineStr">
        <is>
          <t>Tarek Salman - Qatar</t>
        </is>
      </c>
      <c r="G138" t="inlineStr">
        <is>
          <t>Base</t>
        </is>
      </c>
      <c r="I138" t="n">
        <v>0</v>
      </c>
    </row>
    <row r="139">
      <c r="A139">
        <f>CHOOSE(MATCH(Config!$B$2,{"PT";"EN"},0),"Seleção","Team")</f>
        <v/>
      </c>
      <c r="B139" t="inlineStr">
        <is>
          <t>Grupo B</t>
        </is>
      </c>
      <c r="C139" t="inlineStr">
        <is>
          <t>QAT</t>
        </is>
      </c>
      <c r="D139" t="inlineStr">
        <is>
          <t>Qatar</t>
        </is>
      </c>
      <c r="E139" t="inlineStr">
        <is>
          <t>QAT9</t>
        </is>
      </c>
      <c r="F139" t="inlineStr">
        <is>
          <t>Mohamed Al-Mannai - Qatar</t>
        </is>
      </c>
      <c r="G139" t="inlineStr">
        <is>
          <t>Base</t>
        </is>
      </c>
      <c r="I139" t="n">
        <v>0</v>
      </c>
    </row>
    <row r="140">
      <c r="A140">
        <f>CHOOSE(MATCH(Config!$B$2,{"PT";"EN"},0),"Seleção","Team")</f>
        <v/>
      </c>
      <c r="B140" t="inlineStr">
        <is>
          <t>Grupo B</t>
        </is>
      </c>
      <c r="C140" t="inlineStr">
        <is>
          <t>QAT</t>
        </is>
      </c>
      <c r="D140" t="inlineStr">
        <is>
          <t>Qatar</t>
        </is>
      </c>
      <c r="E140" t="inlineStr">
        <is>
          <t>QAT10</t>
        </is>
      </c>
      <c r="F140" t="inlineStr">
        <is>
          <t>Karim Boudiaf - Qatar</t>
        </is>
      </c>
      <c r="G140" t="inlineStr">
        <is>
          <t>Base</t>
        </is>
      </c>
      <c r="I140" t="n">
        <v>0</v>
      </c>
    </row>
    <row r="141">
      <c r="A141">
        <f>CHOOSE(MATCH(Config!$B$2,{"PT";"EN"},0),"Seleção","Team")</f>
        <v/>
      </c>
      <c r="B141" t="inlineStr">
        <is>
          <t>Grupo B</t>
        </is>
      </c>
      <c r="C141" t="inlineStr">
        <is>
          <t>QAT</t>
        </is>
      </c>
      <c r="D141" t="inlineStr">
        <is>
          <t>Qatar</t>
        </is>
      </c>
      <c r="E141" t="inlineStr">
        <is>
          <t>QAT11</t>
        </is>
      </c>
      <c r="F141" t="inlineStr">
        <is>
          <t>Assim Madibo - Qatar</t>
        </is>
      </c>
      <c r="G141" t="inlineStr">
        <is>
          <t>Base</t>
        </is>
      </c>
      <c r="I141" t="n">
        <v>0</v>
      </c>
    </row>
    <row r="142">
      <c r="A142">
        <f>CHOOSE(MATCH(Config!$B$2,{"PT";"EN"},0),"Seleção","Team")</f>
        <v/>
      </c>
      <c r="B142" t="inlineStr">
        <is>
          <t>Grupo B</t>
        </is>
      </c>
      <c r="C142" t="inlineStr">
        <is>
          <t>QAT</t>
        </is>
      </c>
      <c r="D142" t="inlineStr">
        <is>
          <t>Qatar</t>
        </is>
      </c>
      <c r="E142" t="inlineStr">
        <is>
          <t>QAT12</t>
        </is>
      </c>
      <c r="F142" t="inlineStr">
        <is>
          <t>Ahmed Fatehi - Qatar</t>
        </is>
      </c>
      <c r="G142" t="inlineStr">
        <is>
          <t>Base</t>
        </is>
      </c>
      <c r="I142" t="n">
        <v>0</v>
      </c>
    </row>
    <row r="143">
      <c r="A143">
        <f>CHOOSE(MATCH(Config!$B$2,{"PT";"EN"},0),"Seleção","Team")</f>
        <v/>
      </c>
      <c r="B143" t="inlineStr">
        <is>
          <t>Grupo B</t>
        </is>
      </c>
      <c r="C143" t="inlineStr">
        <is>
          <t>QAT</t>
        </is>
      </c>
      <c r="D143" t="inlineStr">
        <is>
          <t>Qatar</t>
        </is>
      </c>
      <c r="E143" t="inlineStr">
        <is>
          <t>QAT13</t>
        </is>
      </c>
      <c r="F143" t="inlineStr">
        <is>
          <t>Team Photo - Qatar</t>
        </is>
      </c>
      <c r="G143" t="inlineStr">
        <is>
          <t>Base</t>
        </is>
      </c>
      <c r="I143" t="n">
        <v>0</v>
      </c>
    </row>
    <row r="144">
      <c r="A144">
        <f>CHOOSE(MATCH(Config!$B$2,{"PT";"EN"},0),"Seleção","Team")</f>
        <v/>
      </c>
      <c r="B144" t="inlineStr">
        <is>
          <t>Grupo B</t>
        </is>
      </c>
      <c r="C144" t="inlineStr">
        <is>
          <t>QAT</t>
        </is>
      </c>
      <c r="D144" t="inlineStr">
        <is>
          <t>Qatar</t>
        </is>
      </c>
      <c r="E144" t="inlineStr">
        <is>
          <t>QAT14</t>
        </is>
      </c>
      <c r="F144" t="inlineStr">
        <is>
          <t>Mohammed Waad - Qatar</t>
        </is>
      </c>
      <c r="G144" t="inlineStr">
        <is>
          <t>Base</t>
        </is>
      </c>
      <c r="I144" t="n">
        <v>0</v>
      </c>
    </row>
    <row r="145">
      <c r="A145">
        <f>CHOOSE(MATCH(Config!$B$2,{"PT";"EN"},0),"Seleção","Team")</f>
        <v/>
      </c>
      <c r="B145" t="inlineStr">
        <is>
          <t>Grupo B</t>
        </is>
      </c>
      <c r="C145" t="inlineStr">
        <is>
          <t>QAT</t>
        </is>
      </c>
      <c r="D145" t="inlineStr">
        <is>
          <t>Qatar</t>
        </is>
      </c>
      <c r="E145" t="inlineStr">
        <is>
          <t>QAT15</t>
        </is>
      </c>
      <c r="F145" t="inlineStr">
        <is>
          <t>Abdulaziz Hatem - Qatar</t>
        </is>
      </c>
      <c r="G145" t="inlineStr">
        <is>
          <t>Base</t>
        </is>
      </c>
      <c r="I145" t="n">
        <v>0</v>
      </c>
    </row>
    <row r="146">
      <c r="A146">
        <f>CHOOSE(MATCH(Config!$B$2,{"PT";"EN"},0),"Seleção","Team")</f>
        <v/>
      </c>
      <c r="B146" t="inlineStr">
        <is>
          <t>Grupo B</t>
        </is>
      </c>
      <c r="C146" t="inlineStr">
        <is>
          <t>QAT</t>
        </is>
      </c>
      <c r="D146" t="inlineStr">
        <is>
          <t>Qatar</t>
        </is>
      </c>
      <c r="E146" t="inlineStr">
        <is>
          <t>QAT16</t>
        </is>
      </c>
      <c r="F146" t="inlineStr">
        <is>
          <t>Hassan Al-Haydos - Qatar</t>
        </is>
      </c>
      <c r="G146" t="inlineStr">
        <is>
          <t>Base</t>
        </is>
      </c>
      <c r="I146" t="n">
        <v>0</v>
      </c>
    </row>
    <row r="147">
      <c r="A147">
        <f>CHOOSE(MATCH(Config!$B$2,{"PT";"EN"},0),"Seleção","Team")</f>
        <v/>
      </c>
      <c r="B147" t="inlineStr">
        <is>
          <t>Grupo B</t>
        </is>
      </c>
      <c r="C147" t="inlineStr">
        <is>
          <t>QAT</t>
        </is>
      </c>
      <c r="D147" t="inlineStr">
        <is>
          <t>Qatar</t>
        </is>
      </c>
      <c r="E147" t="inlineStr">
        <is>
          <t>QAT17</t>
        </is>
      </c>
      <c r="F147" t="inlineStr">
        <is>
          <t>Edmilson Junior - Qatar</t>
        </is>
      </c>
      <c r="G147" t="inlineStr">
        <is>
          <t>Base</t>
        </is>
      </c>
      <c r="I147" t="n">
        <v>0</v>
      </c>
    </row>
    <row r="148">
      <c r="A148">
        <f>CHOOSE(MATCH(Config!$B$2,{"PT";"EN"},0),"Seleção","Team")</f>
        <v/>
      </c>
      <c r="B148" t="inlineStr">
        <is>
          <t>Grupo B</t>
        </is>
      </c>
      <c r="C148" t="inlineStr">
        <is>
          <t>QAT</t>
        </is>
      </c>
      <c r="D148" t="inlineStr">
        <is>
          <t>Qatar</t>
        </is>
      </c>
      <c r="E148" t="inlineStr">
        <is>
          <t>QAT18</t>
        </is>
      </c>
      <c r="F148" t="inlineStr">
        <is>
          <t>Akram Hassan Afif - Qatar</t>
        </is>
      </c>
      <c r="G148" t="inlineStr">
        <is>
          <t>Base</t>
        </is>
      </c>
      <c r="I148" t="n">
        <v>0</v>
      </c>
    </row>
    <row r="149">
      <c r="A149">
        <f>CHOOSE(MATCH(Config!$B$2,{"PT";"EN"},0),"Seleção","Team")</f>
        <v/>
      </c>
      <c r="B149" t="inlineStr">
        <is>
          <t>Grupo B</t>
        </is>
      </c>
      <c r="C149" t="inlineStr">
        <is>
          <t>QAT</t>
        </is>
      </c>
      <c r="D149" t="inlineStr">
        <is>
          <t>Qatar</t>
        </is>
      </c>
      <c r="E149" t="inlineStr">
        <is>
          <t>QAT19</t>
        </is>
      </c>
      <c r="F149" t="inlineStr">
        <is>
          <t>Ahmed Al Ganehi - Qatar</t>
        </is>
      </c>
      <c r="G149" t="inlineStr">
        <is>
          <t>Base</t>
        </is>
      </c>
      <c r="I149" t="n">
        <v>0</v>
      </c>
    </row>
    <row r="150">
      <c r="A150">
        <f>CHOOSE(MATCH(Config!$B$2,{"PT";"EN"},0),"Seleção","Team")</f>
        <v/>
      </c>
      <c r="B150" t="inlineStr">
        <is>
          <t>Grupo B</t>
        </is>
      </c>
      <c r="C150" t="inlineStr">
        <is>
          <t>QAT</t>
        </is>
      </c>
      <c r="D150" t="inlineStr">
        <is>
          <t>Qatar</t>
        </is>
      </c>
      <c r="E150" t="inlineStr">
        <is>
          <t>QAT20</t>
        </is>
      </c>
      <c r="F150" t="inlineStr">
        <is>
          <t>Almoez Ali - Qatar</t>
        </is>
      </c>
      <c r="G150" t="inlineStr">
        <is>
          <t>Base</t>
        </is>
      </c>
      <c r="I150" t="n">
        <v>0</v>
      </c>
    </row>
    <row r="151">
      <c r="A151">
        <f>CHOOSE(MATCH(Config!$B$2,{"PT";"EN"},0),"Seleção","Team")</f>
        <v/>
      </c>
      <c r="B151" t="inlineStr">
        <is>
          <t>Grupo B</t>
        </is>
      </c>
      <c r="C151" t="inlineStr">
        <is>
          <t>SUI</t>
        </is>
      </c>
      <c r="D151" t="inlineStr">
        <is>
          <t>Switzerland</t>
        </is>
      </c>
      <c r="E151" t="inlineStr">
        <is>
          <t>SUI1</t>
        </is>
      </c>
      <c r="F151" t="inlineStr">
        <is>
          <t>Team Logo - Switzerland FOIL</t>
        </is>
      </c>
      <c r="G151" t="inlineStr">
        <is>
          <t>FOIL</t>
        </is>
      </c>
      <c r="I151" t="n">
        <v>0</v>
      </c>
    </row>
    <row r="152">
      <c r="A152">
        <f>CHOOSE(MATCH(Config!$B$2,{"PT";"EN"},0),"Seleção","Team")</f>
        <v/>
      </c>
      <c r="B152" t="inlineStr">
        <is>
          <t>Grupo B</t>
        </is>
      </c>
      <c r="C152" t="inlineStr">
        <is>
          <t>SUI</t>
        </is>
      </c>
      <c r="D152" t="inlineStr">
        <is>
          <t>Switzerland</t>
        </is>
      </c>
      <c r="E152" t="inlineStr">
        <is>
          <t>SUI2</t>
        </is>
      </c>
      <c r="F152" t="inlineStr">
        <is>
          <t>Gregor Kobel - Switzerland</t>
        </is>
      </c>
      <c r="G152" t="inlineStr">
        <is>
          <t>Base</t>
        </is>
      </c>
      <c r="I152" t="n">
        <v>0</v>
      </c>
    </row>
    <row r="153">
      <c r="A153">
        <f>CHOOSE(MATCH(Config!$B$2,{"PT";"EN"},0),"Seleção","Team")</f>
        <v/>
      </c>
      <c r="B153" t="inlineStr">
        <is>
          <t>Grupo B</t>
        </is>
      </c>
      <c r="C153" t="inlineStr">
        <is>
          <t>SUI</t>
        </is>
      </c>
      <c r="D153" t="inlineStr">
        <is>
          <t>Switzerland</t>
        </is>
      </c>
      <c r="E153" t="inlineStr">
        <is>
          <t>SUI3</t>
        </is>
      </c>
      <c r="F153" t="inlineStr">
        <is>
          <t>Yvon Mvogo - Switzerland</t>
        </is>
      </c>
      <c r="G153" t="inlineStr">
        <is>
          <t>Base</t>
        </is>
      </c>
      <c r="I153" t="n">
        <v>0</v>
      </c>
    </row>
    <row r="154">
      <c r="A154">
        <f>CHOOSE(MATCH(Config!$B$2,{"PT";"EN"},0),"Seleção","Team")</f>
        <v/>
      </c>
      <c r="B154" t="inlineStr">
        <is>
          <t>Grupo B</t>
        </is>
      </c>
      <c r="C154" t="inlineStr">
        <is>
          <t>SUI</t>
        </is>
      </c>
      <c r="D154" t="inlineStr">
        <is>
          <t>Switzerland</t>
        </is>
      </c>
      <c r="E154" t="inlineStr">
        <is>
          <t>SUI4</t>
        </is>
      </c>
      <c r="F154" t="inlineStr">
        <is>
          <t>Manuel Akanji - Switzerland</t>
        </is>
      </c>
      <c r="G154" t="inlineStr">
        <is>
          <t>Base</t>
        </is>
      </c>
      <c r="I154" t="n">
        <v>0</v>
      </c>
    </row>
    <row r="155">
      <c r="A155">
        <f>CHOOSE(MATCH(Config!$B$2,{"PT";"EN"},0),"Seleção","Team")</f>
        <v/>
      </c>
      <c r="B155" t="inlineStr">
        <is>
          <t>Grupo B</t>
        </is>
      </c>
      <c r="C155" t="inlineStr">
        <is>
          <t>SUI</t>
        </is>
      </c>
      <c r="D155" t="inlineStr">
        <is>
          <t>Switzerland</t>
        </is>
      </c>
      <c r="E155" t="inlineStr">
        <is>
          <t>SUI5</t>
        </is>
      </c>
      <c r="F155" t="inlineStr">
        <is>
          <t>Ricardo Rodriguez - Switzerland</t>
        </is>
      </c>
      <c r="G155" t="inlineStr">
        <is>
          <t>Base</t>
        </is>
      </c>
      <c r="I155" t="n">
        <v>0</v>
      </c>
    </row>
    <row r="156">
      <c r="A156">
        <f>CHOOSE(MATCH(Config!$B$2,{"PT";"EN"},0),"Seleção","Team")</f>
        <v/>
      </c>
      <c r="B156" t="inlineStr">
        <is>
          <t>Grupo B</t>
        </is>
      </c>
      <c r="C156" t="inlineStr">
        <is>
          <t>SUI</t>
        </is>
      </c>
      <c r="D156" t="inlineStr">
        <is>
          <t>Switzerland</t>
        </is>
      </c>
      <c r="E156" t="inlineStr">
        <is>
          <t>SUI6</t>
        </is>
      </c>
      <c r="F156" t="inlineStr">
        <is>
          <t>Nico Elvedi - Switzerland</t>
        </is>
      </c>
      <c r="G156" t="inlineStr">
        <is>
          <t>Base</t>
        </is>
      </c>
      <c r="I156" t="n">
        <v>0</v>
      </c>
    </row>
    <row r="157">
      <c r="A157">
        <f>CHOOSE(MATCH(Config!$B$2,{"PT";"EN"},0),"Seleção","Team")</f>
        <v/>
      </c>
      <c r="B157" t="inlineStr">
        <is>
          <t>Grupo B</t>
        </is>
      </c>
      <c r="C157" t="inlineStr">
        <is>
          <t>SUI</t>
        </is>
      </c>
      <c r="D157" t="inlineStr">
        <is>
          <t>Switzerland</t>
        </is>
      </c>
      <c r="E157" t="inlineStr">
        <is>
          <t>SUI7</t>
        </is>
      </c>
      <c r="F157" t="inlineStr">
        <is>
          <t>Aurèle Amenda - Switzerland</t>
        </is>
      </c>
      <c r="G157" t="inlineStr">
        <is>
          <t>Base</t>
        </is>
      </c>
      <c r="I157" t="n">
        <v>0</v>
      </c>
    </row>
    <row r="158">
      <c r="A158">
        <f>CHOOSE(MATCH(Config!$B$2,{"PT";"EN"},0),"Seleção","Team")</f>
        <v/>
      </c>
      <c r="B158" t="inlineStr">
        <is>
          <t>Grupo B</t>
        </is>
      </c>
      <c r="C158" t="inlineStr">
        <is>
          <t>SUI</t>
        </is>
      </c>
      <c r="D158" t="inlineStr">
        <is>
          <t>Switzerland</t>
        </is>
      </c>
      <c r="E158" t="inlineStr">
        <is>
          <t>SUI8</t>
        </is>
      </c>
      <c r="F158" t="inlineStr">
        <is>
          <t>Silvan Widmer - Switzerland</t>
        </is>
      </c>
      <c r="G158" t="inlineStr">
        <is>
          <t>Base</t>
        </is>
      </c>
      <c r="I158" t="n">
        <v>0</v>
      </c>
    </row>
    <row r="159">
      <c r="A159">
        <f>CHOOSE(MATCH(Config!$B$2,{"PT";"EN"},0),"Seleção","Team")</f>
        <v/>
      </c>
      <c r="B159" t="inlineStr">
        <is>
          <t>Grupo B</t>
        </is>
      </c>
      <c r="C159" t="inlineStr">
        <is>
          <t>SUI</t>
        </is>
      </c>
      <c r="D159" t="inlineStr">
        <is>
          <t>Switzerland</t>
        </is>
      </c>
      <c r="E159" t="inlineStr">
        <is>
          <t>SWI9</t>
        </is>
      </c>
      <c r="F159" t="inlineStr">
        <is>
          <t>Granit Xhaka - Switzerland</t>
        </is>
      </c>
      <c r="G159" t="inlineStr">
        <is>
          <t>Base</t>
        </is>
      </c>
      <c r="I159" t="n">
        <v>0</v>
      </c>
    </row>
    <row r="160">
      <c r="A160">
        <f>CHOOSE(MATCH(Config!$B$2,{"PT";"EN"},0),"Seleção","Team")</f>
        <v/>
      </c>
      <c r="B160" t="inlineStr">
        <is>
          <t>Grupo B</t>
        </is>
      </c>
      <c r="C160" t="inlineStr">
        <is>
          <t>SUI</t>
        </is>
      </c>
      <c r="D160" t="inlineStr">
        <is>
          <t>Switzerland</t>
        </is>
      </c>
      <c r="E160" t="inlineStr">
        <is>
          <t>SUI10</t>
        </is>
      </c>
      <c r="F160" t="inlineStr">
        <is>
          <t>Denis Zakaria - Switzerland</t>
        </is>
      </c>
      <c r="G160" t="inlineStr">
        <is>
          <t>Base</t>
        </is>
      </c>
      <c r="I160" t="n">
        <v>0</v>
      </c>
    </row>
    <row r="161">
      <c r="A161">
        <f>CHOOSE(MATCH(Config!$B$2,{"PT";"EN"},0),"Seleção","Team")</f>
        <v/>
      </c>
      <c r="B161" t="inlineStr">
        <is>
          <t>Grupo B</t>
        </is>
      </c>
      <c r="C161" t="inlineStr">
        <is>
          <t>SUI</t>
        </is>
      </c>
      <c r="D161" t="inlineStr">
        <is>
          <t>Switzerland</t>
        </is>
      </c>
      <c r="E161" t="inlineStr">
        <is>
          <t>SUI11</t>
        </is>
      </c>
      <c r="F161" t="inlineStr">
        <is>
          <t>Remo Freuler - Switzerland</t>
        </is>
      </c>
      <c r="G161" t="inlineStr">
        <is>
          <t>Base</t>
        </is>
      </c>
      <c r="I161" t="n">
        <v>0</v>
      </c>
    </row>
    <row r="162">
      <c r="A162">
        <f>CHOOSE(MATCH(Config!$B$2,{"PT";"EN"},0),"Seleção","Team")</f>
        <v/>
      </c>
      <c r="B162" t="inlineStr">
        <is>
          <t>Grupo B</t>
        </is>
      </c>
      <c r="C162" t="inlineStr">
        <is>
          <t>SUI</t>
        </is>
      </c>
      <c r="D162" t="inlineStr">
        <is>
          <t>Switzerland</t>
        </is>
      </c>
      <c r="E162" t="inlineStr">
        <is>
          <t>SUI12</t>
        </is>
      </c>
      <c r="F162" t="inlineStr">
        <is>
          <t>Fabian Rieder - Switzerland</t>
        </is>
      </c>
      <c r="G162" t="inlineStr">
        <is>
          <t>Base</t>
        </is>
      </c>
      <c r="I162" t="n">
        <v>0</v>
      </c>
    </row>
    <row r="163">
      <c r="A163">
        <f>CHOOSE(MATCH(Config!$B$2,{"PT";"EN"},0),"Seleção","Team")</f>
        <v/>
      </c>
      <c r="B163" t="inlineStr">
        <is>
          <t>Grupo B</t>
        </is>
      </c>
      <c r="C163" t="inlineStr">
        <is>
          <t>SUI</t>
        </is>
      </c>
      <c r="D163" t="inlineStr">
        <is>
          <t>Switzerland</t>
        </is>
      </c>
      <c r="E163" t="inlineStr">
        <is>
          <t>SUI13</t>
        </is>
      </c>
      <c r="F163" t="inlineStr">
        <is>
          <t>Team Photo - Switzerland</t>
        </is>
      </c>
      <c r="G163" t="inlineStr">
        <is>
          <t>Base</t>
        </is>
      </c>
      <c r="I163" t="n">
        <v>0</v>
      </c>
    </row>
    <row r="164">
      <c r="A164">
        <f>CHOOSE(MATCH(Config!$B$2,{"PT";"EN"},0),"Seleção","Team")</f>
        <v/>
      </c>
      <c r="B164" t="inlineStr">
        <is>
          <t>Grupo B</t>
        </is>
      </c>
      <c r="C164" t="inlineStr">
        <is>
          <t>SUI</t>
        </is>
      </c>
      <c r="D164" t="inlineStr">
        <is>
          <t>Switzerland</t>
        </is>
      </c>
      <c r="E164" t="inlineStr">
        <is>
          <t>SUI14</t>
        </is>
      </c>
      <c r="F164" t="inlineStr">
        <is>
          <t>Ardon Jashari - Switzerland</t>
        </is>
      </c>
      <c r="G164" t="inlineStr">
        <is>
          <t>Base</t>
        </is>
      </c>
      <c r="I164" t="n">
        <v>0</v>
      </c>
    </row>
    <row r="165">
      <c r="A165">
        <f>CHOOSE(MATCH(Config!$B$2,{"PT";"EN"},0),"Seleção","Team")</f>
        <v/>
      </c>
      <c r="B165" t="inlineStr">
        <is>
          <t>Grupo B</t>
        </is>
      </c>
      <c r="C165" t="inlineStr">
        <is>
          <t>SUI</t>
        </is>
      </c>
      <c r="D165" t="inlineStr">
        <is>
          <t>Switzerland</t>
        </is>
      </c>
      <c r="E165" t="inlineStr">
        <is>
          <t>SUI15</t>
        </is>
      </c>
      <c r="F165" t="inlineStr">
        <is>
          <t>Johan Manzambi - Switzerland</t>
        </is>
      </c>
      <c r="G165" t="inlineStr">
        <is>
          <t>Base</t>
        </is>
      </c>
      <c r="I165" t="n">
        <v>0</v>
      </c>
    </row>
    <row r="166">
      <c r="A166">
        <f>CHOOSE(MATCH(Config!$B$2,{"PT";"EN"},0),"Seleção","Team")</f>
        <v/>
      </c>
      <c r="B166" t="inlineStr">
        <is>
          <t>Grupo B</t>
        </is>
      </c>
      <c r="C166" t="inlineStr">
        <is>
          <t>SUI</t>
        </is>
      </c>
      <c r="D166" t="inlineStr">
        <is>
          <t>Switzerland</t>
        </is>
      </c>
      <c r="E166" t="inlineStr">
        <is>
          <t>SUI16</t>
        </is>
      </c>
      <c r="F166" t="inlineStr">
        <is>
          <t>Michel Aebischer - Switzerland</t>
        </is>
      </c>
      <c r="G166" t="inlineStr">
        <is>
          <t>Base</t>
        </is>
      </c>
      <c r="I166" t="n">
        <v>0</v>
      </c>
    </row>
    <row r="167">
      <c r="A167">
        <f>CHOOSE(MATCH(Config!$B$2,{"PT";"EN"},0),"Seleção","Team")</f>
        <v/>
      </c>
      <c r="B167" t="inlineStr">
        <is>
          <t>Grupo B</t>
        </is>
      </c>
      <c r="C167" t="inlineStr">
        <is>
          <t>SUI</t>
        </is>
      </c>
      <c r="D167" t="inlineStr">
        <is>
          <t>Switzerland</t>
        </is>
      </c>
      <c r="E167" t="inlineStr">
        <is>
          <t>SUI17</t>
        </is>
      </c>
      <c r="F167" t="inlineStr">
        <is>
          <t>Breel Embolo - Switzerland</t>
        </is>
      </c>
      <c r="G167" t="inlineStr">
        <is>
          <t>Base</t>
        </is>
      </c>
      <c r="I167" t="n">
        <v>0</v>
      </c>
    </row>
    <row r="168">
      <c r="A168">
        <f>CHOOSE(MATCH(Config!$B$2,{"PT";"EN"},0),"Seleção","Team")</f>
        <v/>
      </c>
      <c r="B168" t="inlineStr">
        <is>
          <t>Grupo B</t>
        </is>
      </c>
      <c r="C168" t="inlineStr">
        <is>
          <t>SUI</t>
        </is>
      </c>
      <c r="D168" t="inlineStr">
        <is>
          <t>Switzerland</t>
        </is>
      </c>
      <c r="E168" t="inlineStr">
        <is>
          <t>SUI18</t>
        </is>
      </c>
      <c r="F168" t="inlineStr">
        <is>
          <t>Ruben Vargas - Switzerland</t>
        </is>
      </c>
      <c r="G168" t="inlineStr">
        <is>
          <t>Base</t>
        </is>
      </c>
      <c r="I168" t="n">
        <v>0</v>
      </c>
    </row>
    <row r="169">
      <c r="A169">
        <f>CHOOSE(MATCH(Config!$B$2,{"PT";"EN"},0),"Seleção","Team")</f>
        <v/>
      </c>
      <c r="B169" t="inlineStr">
        <is>
          <t>Grupo B</t>
        </is>
      </c>
      <c r="C169" t="inlineStr">
        <is>
          <t>SUI</t>
        </is>
      </c>
      <c r="D169" t="inlineStr">
        <is>
          <t>Switzerland</t>
        </is>
      </c>
      <c r="E169" t="inlineStr">
        <is>
          <t>SUI19</t>
        </is>
      </c>
      <c r="F169" t="inlineStr">
        <is>
          <t>Dan Ndoye - Switzerland</t>
        </is>
      </c>
      <c r="G169" t="inlineStr">
        <is>
          <t>Base</t>
        </is>
      </c>
      <c r="I169" t="n">
        <v>0</v>
      </c>
    </row>
    <row r="170">
      <c r="A170">
        <f>CHOOSE(MATCH(Config!$B$2,{"PT";"EN"},0),"Seleção","Team")</f>
        <v/>
      </c>
      <c r="B170" t="inlineStr">
        <is>
          <t>Grupo B</t>
        </is>
      </c>
      <c r="C170" t="inlineStr">
        <is>
          <t>SUI</t>
        </is>
      </c>
      <c r="D170" t="inlineStr">
        <is>
          <t>Switzerland</t>
        </is>
      </c>
      <c r="E170" t="inlineStr">
        <is>
          <t>SWI20</t>
        </is>
      </c>
      <c r="F170" t="inlineStr">
        <is>
          <t>Zeki Amdouni - Switzerland</t>
        </is>
      </c>
      <c r="G170" t="inlineStr">
        <is>
          <t>Base</t>
        </is>
      </c>
      <c r="I170" t="n">
        <v>0</v>
      </c>
    </row>
    <row r="171">
      <c r="A171">
        <f>CHOOSE(MATCH(Config!$B$2,{"PT";"EN"},0),"Seleção","Team")</f>
        <v/>
      </c>
      <c r="B171" t="inlineStr">
        <is>
          <t>Grupo C</t>
        </is>
      </c>
      <c r="C171" t="inlineStr">
        <is>
          <t>BRA</t>
        </is>
      </c>
      <c r="D171" t="inlineStr">
        <is>
          <t>Brazil</t>
        </is>
      </c>
      <c r="E171" t="inlineStr">
        <is>
          <t>BRA1</t>
        </is>
      </c>
      <c r="F171" t="inlineStr">
        <is>
          <t>Team Logo - Brazil FOIL</t>
        </is>
      </c>
      <c r="G171" t="inlineStr">
        <is>
          <t>FOIL</t>
        </is>
      </c>
      <c r="I171" t="n">
        <v>0</v>
      </c>
    </row>
    <row r="172">
      <c r="A172">
        <f>CHOOSE(MATCH(Config!$B$2,{"PT";"EN"},0),"Seleção","Team")</f>
        <v/>
      </c>
      <c r="B172" t="inlineStr">
        <is>
          <t>Grupo C</t>
        </is>
      </c>
      <c r="C172" t="inlineStr">
        <is>
          <t>BRA</t>
        </is>
      </c>
      <c r="D172" t="inlineStr">
        <is>
          <t>Brazil</t>
        </is>
      </c>
      <c r="E172" t="inlineStr">
        <is>
          <t>BRA2</t>
        </is>
      </c>
      <c r="F172" t="inlineStr">
        <is>
          <t>Alisson - Brazil</t>
        </is>
      </c>
      <c r="G172" t="inlineStr">
        <is>
          <t>Base</t>
        </is>
      </c>
      <c r="I172" t="n">
        <v>0</v>
      </c>
    </row>
    <row r="173">
      <c r="A173">
        <f>CHOOSE(MATCH(Config!$B$2,{"PT";"EN"},0),"Seleção","Team")</f>
        <v/>
      </c>
      <c r="B173" t="inlineStr">
        <is>
          <t>Grupo C</t>
        </is>
      </c>
      <c r="C173" t="inlineStr">
        <is>
          <t>BRA</t>
        </is>
      </c>
      <c r="D173" t="inlineStr">
        <is>
          <t>Brazil</t>
        </is>
      </c>
      <c r="E173" t="inlineStr">
        <is>
          <t>BRA3</t>
        </is>
      </c>
      <c r="F173" t="inlineStr">
        <is>
          <t>Bento - Brazil</t>
        </is>
      </c>
      <c r="G173" t="inlineStr">
        <is>
          <t>Base</t>
        </is>
      </c>
      <c r="I173" t="n">
        <v>0</v>
      </c>
    </row>
    <row r="174">
      <c r="A174">
        <f>CHOOSE(MATCH(Config!$B$2,{"PT";"EN"},0),"Seleção","Team")</f>
        <v/>
      </c>
      <c r="B174" t="inlineStr">
        <is>
          <t>Grupo C</t>
        </is>
      </c>
      <c r="C174" t="inlineStr">
        <is>
          <t>BRA</t>
        </is>
      </c>
      <c r="D174" t="inlineStr">
        <is>
          <t>Brazil</t>
        </is>
      </c>
      <c r="E174" t="inlineStr">
        <is>
          <t>BRA4</t>
        </is>
      </c>
      <c r="F174" t="inlineStr">
        <is>
          <t>Marquinhos - Brazil</t>
        </is>
      </c>
      <c r="G174" t="inlineStr">
        <is>
          <t>Base</t>
        </is>
      </c>
      <c r="I174" t="n">
        <v>0</v>
      </c>
    </row>
    <row r="175">
      <c r="A175">
        <f>CHOOSE(MATCH(Config!$B$2,{"PT";"EN"},0),"Seleção","Team")</f>
        <v/>
      </c>
      <c r="B175" t="inlineStr">
        <is>
          <t>Grupo C</t>
        </is>
      </c>
      <c r="C175" t="inlineStr">
        <is>
          <t>BRA</t>
        </is>
      </c>
      <c r="D175" t="inlineStr">
        <is>
          <t>Brazil</t>
        </is>
      </c>
      <c r="E175" t="inlineStr">
        <is>
          <t>BRA5</t>
        </is>
      </c>
      <c r="F175" t="inlineStr">
        <is>
          <t>Éder Militão - Brazil</t>
        </is>
      </c>
      <c r="G175" t="inlineStr">
        <is>
          <t>Base</t>
        </is>
      </c>
      <c r="I175" t="n">
        <v>0</v>
      </c>
    </row>
    <row r="176">
      <c r="A176">
        <f>CHOOSE(MATCH(Config!$B$2,{"PT";"EN"},0),"Seleção","Team")</f>
        <v/>
      </c>
      <c r="B176" t="inlineStr">
        <is>
          <t>Grupo C</t>
        </is>
      </c>
      <c r="C176" t="inlineStr">
        <is>
          <t>BRA</t>
        </is>
      </c>
      <c r="D176" t="inlineStr">
        <is>
          <t>Brazil</t>
        </is>
      </c>
      <c r="E176" t="inlineStr">
        <is>
          <t>BRA6</t>
        </is>
      </c>
      <c r="F176" t="inlineStr">
        <is>
          <t>Gabriel Magalhães - Brazil</t>
        </is>
      </c>
      <c r="G176" t="inlineStr">
        <is>
          <t>Base</t>
        </is>
      </c>
      <c r="I176" t="n">
        <v>0</v>
      </c>
    </row>
    <row r="177">
      <c r="A177">
        <f>CHOOSE(MATCH(Config!$B$2,{"PT";"EN"},0),"Seleção","Team")</f>
        <v/>
      </c>
      <c r="B177" t="inlineStr">
        <is>
          <t>Grupo C</t>
        </is>
      </c>
      <c r="C177" t="inlineStr">
        <is>
          <t>BRA</t>
        </is>
      </c>
      <c r="D177" t="inlineStr">
        <is>
          <t>Brazil</t>
        </is>
      </c>
      <c r="E177" t="inlineStr">
        <is>
          <t>BRA7</t>
        </is>
      </c>
      <c r="F177" t="inlineStr">
        <is>
          <t>Danilo - Brazil</t>
        </is>
      </c>
      <c r="G177" t="inlineStr">
        <is>
          <t>Base</t>
        </is>
      </c>
      <c r="I177" t="n">
        <v>0</v>
      </c>
    </row>
    <row r="178">
      <c r="A178">
        <f>CHOOSE(MATCH(Config!$B$2,{"PT";"EN"},0),"Seleção","Team")</f>
        <v/>
      </c>
      <c r="B178" t="inlineStr">
        <is>
          <t>Grupo C</t>
        </is>
      </c>
      <c r="C178" t="inlineStr">
        <is>
          <t>BRA</t>
        </is>
      </c>
      <c r="D178" t="inlineStr">
        <is>
          <t>Brazil</t>
        </is>
      </c>
      <c r="E178" t="inlineStr">
        <is>
          <t>BRA8</t>
        </is>
      </c>
      <c r="F178" t="inlineStr">
        <is>
          <t>Wesley - Brazil</t>
        </is>
      </c>
      <c r="G178" t="inlineStr">
        <is>
          <t>Base</t>
        </is>
      </c>
      <c r="I178" t="n">
        <v>0</v>
      </c>
    </row>
    <row r="179">
      <c r="A179">
        <f>CHOOSE(MATCH(Config!$B$2,{"PT";"EN"},0),"Seleção","Team")</f>
        <v/>
      </c>
      <c r="B179" t="inlineStr">
        <is>
          <t>Grupo C</t>
        </is>
      </c>
      <c r="C179" t="inlineStr">
        <is>
          <t>BRA</t>
        </is>
      </c>
      <c r="D179" t="inlineStr">
        <is>
          <t>Brazil</t>
        </is>
      </c>
      <c r="E179" t="inlineStr">
        <is>
          <t>BRA9</t>
        </is>
      </c>
      <c r="F179" t="inlineStr">
        <is>
          <t>Lucas Paquetá - Brazil</t>
        </is>
      </c>
      <c r="G179" t="inlineStr">
        <is>
          <t>Base</t>
        </is>
      </c>
      <c r="I179" t="n">
        <v>0</v>
      </c>
    </row>
    <row r="180">
      <c r="A180">
        <f>CHOOSE(MATCH(Config!$B$2,{"PT";"EN"},0),"Seleção","Team")</f>
        <v/>
      </c>
      <c r="B180" t="inlineStr">
        <is>
          <t>Grupo C</t>
        </is>
      </c>
      <c r="C180" t="inlineStr">
        <is>
          <t>BRA</t>
        </is>
      </c>
      <c r="D180" t="inlineStr">
        <is>
          <t>Brazil</t>
        </is>
      </c>
      <c r="E180" t="inlineStr">
        <is>
          <t>BRA10</t>
        </is>
      </c>
      <c r="F180" t="inlineStr">
        <is>
          <t>Casemiro - Brazil</t>
        </is>
      </c>
      <c r="G180" t="inlineStr">
        <is>
          <t>Base</t>
        </is>
      </c>
      <c r="I180" t="n">
        <v>0</v>
      </c>
    </row>
    <row r="181">
      <c r="A181">
        <f>CHOOSE(MATCH(Config!$B$2,{"PT";"EN"},0),"Seleção","Team")</f>
        <v/>
      </c>
      <c r="B181" t="inlineStr">
        <is>
          <t>Grupo C</t>
        </is>
      </c>
      <c r="C181" t="inlineStr">
        <is>
          <t>BRA</t>
        </is>
      </c>
      <c r="D181" t="inlineStr">
        <is>
          <t>Brazil</t>
        </is>
      </c>
      <c r="E181" t="inlineStr">
        <is>
          <t>BRA11</t>
        </is>
      </c>
      <c r="F181" t="inlineStr">
        <is>
          <t>Bruno Guimarães - Brazil</t>
        </is>
      </c>
      <c r="G181" t="inlineStr">
        <is>
          <t>Base</t>
        </is>
      </c>
      <c r="I181" t="n">
        <v>0</v>
      </c>
    </row>
    <row r="182">
      <c r="A182">
        <f>CHOOSE(MATCH(Config!$B$2,{"PT";"EN"},0),"Seleção","Team")</f>
        <v/>
      </c>
      <c r="B182" t="inlineStr">
        <is>
          <t>Grupo C</t>
        </is>
      </c>
      <c r="C182" t="inlineStr">
        <is>
          <t>BRA</t>
        </is>
      </c>
      <c r="D182" t="inlineStr">
        <is>
          <t>Brazil</t>
        </is>
      </c>
      <c r="E182" t="inlineStr">
        <is>
          <t>BRA12</t>
        </is>
      </c>
      <c r="F182" t="inlineStr">
        <is>
          <t>Luiz Henrique - Brazil</t>
        </is>
      </c>
      <c r="G182" t="inlineStr">
        <is>
          <t>Base</t>
        </is>
      </c>
      <c r="I182" t="n">
        <v>0</v>
      </c>
    </row>
    <row r="183">
      <c r="A183">
        <f>CHOOSE(MATCH(Config!$B$2,{"PT";"EN"},0),"Seleção","Team")</f>
        <v/>
      </c>
      <c r="B183" t="inlineStr">
        <is>
          <t>Grupo C</t>
        </is>
      </c>
      <c r="C183" t="inlineStr">
        <is>
          <t>BRA</t>
        </is>
      </c>
      <c r="D183" t="inlineStr">
        <is>
          <t>Brazil</t>
        </is>
      </c>
      <c r="E183" t="inlineStr">
        <is>
          <t>BRA13</t>
        </is>
      </c>
      <c r="F183" t="inlineStr">
        <is>
          <t>Team Photo - Brazil</t>
        </is>
      </c>
      <c r="G183" t="inlineStr">
        <is>
          <t>Base</t>
        </is>
      </c>
      <c r="I183" t="n">
        <v>0</v>
      </c>
    </row>
    <row r="184">
      <c r="A184">
        <f>CHOOSE(MATCH(Config!$B$2,{"PT";"EN"},0),"Seleção","Team")</f>
        <v/>
      </c>
      <c r="B184" t="inlineStr">
        <is>
          <t>Grupo C</t>
        </is>
      </c>
      <c r="C184" t="inlineStr">
        <is>
          <t>BRA</t>
        </is>
      </c>
      <c r="D184" t="inlineStr">
        <is>
          <t>Brazil</t>
        </is>
      </c>
      <c r="E184" t="inlineStr">
        <is>
          <t>BRA14</t>
        </is>
      </c>
      <c r="F184" t="inlineStr">
        <is>
          <t>Vinicius Júnior - Brazil</t>
        </is>
      </c>
      <c r="G184" t="inlineStr">
        <is>
          <t>Base</t>
        </is>
      </c>
      <c r="I184" t="n">
        <v>0</v>
      </c>
    </row>
    <row r="185">
      <c r="A185">
        <f>CHOOSE(MATCH(Config!$B$2,{"PT";"EN"},0),"Seleção","Team")</f>
        <v/>
      </c>
      <c r="B185" t="inlineStr">
        <is>
          <t>Grupo C</t>
        </is>
      </c>
      <c r="C185" t="inlineStr">
        <is>
          <t>BRA</t>
        </is>
      </c>
      <c r="D185" t="inlineStr">
        <is>
          <t>Brazil</t>
        </is>
      </c>
      <c r="E185" t="inlineStr">
        <is>
          <t>BRA15</t>
        </is>
      </c>
      <c r="F185" t="inlineStr">
        <is>
          <t>Rodrygo - Brazil</t>
        </is>
      </c>
      <c r="G185" t="inlineStr">
        <is>
          <t>Base</t>
        </is>
      </c>
      <c r="I185" t="n">
        <v>0</v>
      </c>
    </row>
    <row r="186">
      <c r="A186">
        <f>CHOOSE(MATCH(Config!$B$2,{"PT";"EN"},0),"Seleção","Team")</f>
        <v/>
      </c>
      <c r="B186" t="inlineStr">
        <is>
          <t>Grupo C</t>
        </is>
      </c>
      <c r="C186" t="inlineStr">
        <is>
          <t>BRA</t>
        </is>
      </c>
      <c r="D186" t="inlineStr">
        <is>
          <t>Brazil</t>
        </is>
      </c>
      <c r="E186" t="inlineStr">
        <is>
          <t>BRA16</t>
        </is>
      </c>
      <c r="F186" t="inlineStr">
        <is>
          <t>João Pedro - Brazil</t>
        </is>
      </c>
      <c r="G186" t="inlineStr">
        <is>
          <t>Base</t>
        </is>
      </c>
      <c r="I186" t="n">
        <v>0</v>
      </c>
    </row>
    <row r="187">
      <c r="A187">
        <f>CHOOSE(MATCH(Config!$B$2,{"PT";"EN"},0),"Seleção","Team")</f>
        <v/>
      </c>
      <c r="B187" t="inlineStr">
        <is>
          <t>Grupo C</t>
        </is>
      </c>
      <c r="C187" t="inlineStr">
        <is>
          <t>BRA</t>
        </is>
      </c>
      <c r="D187" t="inlineStr">
        <is>
          <t>Brazil</t>
        </is>
      </c>
      <c r="E187" t="inlineStr">
        <is>
          <t>BRA17</t>
        </is>
      </c>
      <c r="F187" t="inlineStr">
        <is>
          <t>Matheus Cunha - Brazil</t>
        </is>
      </c>
      <c r="G187" t="inlineStr">
        <is>
          <t>Base</t>
        </is>
      </c>
      <c r="I187" t="n">
        <v>0</v>
      </c>
    </row>
    <row r="188">
      <c r="A188">
        <f>CHOOSE(MATCH(Config!$B$2,{"PT";"EN"},0),"Seleção","Team")</f>
        <v/>
      </c>
      <c r="B188" t="inlineStr">
        <is>
          <t>Grupo C</t>
        </is>
      </c>
      <c r="C188" t="inlineStr">
        <is>
          <t>BRA</t>
        </is>
      </c>
      <c r="D188" t="inlineStr">
        <is>
          <t>Brazil</t>
        </is>
      </c>
      <c r="E188" t="inlineStr">
        <is>
          <t>BRA18</t>
        </is>
      </c>
      <c r="F188" t="inlineStr">
        <is>
          <t>Gabriel Martinelli - Brazil</t>
        </is>
      </c>
      <c r="G188" t="inlineStr">
        <is>
          <t>Base</t>
        </is>
      </c>
      <c r="I188" t="n">
        <v>0</v>
      </c>
    </row>
    <row r="189">
      <c r="A189">
        <f>CHOOSE(MATCH(Config!$B$2,{"PT";"EN"},0),"Seleção","Team")</f>
        <v/>
      </c>
      <c r="B189" t="inlineStr">
        <is>
          <t>Grupo C</t>
        </is>
      </c>
      <c r="C189" t="inlineStr">
        <is>
          <t>BRA</t>
        </is>
      </c>
      <c r="D189" t="inlineStr">
        <is>
          <t>Brazil</t>
        </is>
      </c>
      <c r="E189" t="inlineStr">
        <is>
          <t>BRA19</t>
        </is>
      </c>
      <c r="F189" t="inlineStr">
        <is>
          <t>Raphinha - Brazil</t>
        </is>
      </c>
      <c r="G189" t="inlineStr">
        <is>
          <t>Base</t>
        </is>
      </c>
      <c r="I189" t="n">
        <v>0</v>
      </c>
    </row>
    <row r="190">
      <c r="A190">
        <f>CHOOSE(MATCH(Config!$B$2,{"PT";"EN"},0),"Seleção","Team")</f>
        <v/>
      </c>
      <c r="B190" t="inlineStr">
        <is>
          <t>Grupo C</t>
        </is>
      </c>
      <c r="C190" t="inlineStr">
        <is>
          <t>BRA</t>
        </is>
      </c>
      <c r="D190" t="inlineStr">
        <is>
          <t>Brazil</t>
        </is>
      </c>
      <c r="E190" t="inlineStr">
        <is>
          <t>BRA20</t>
        </is>
      </c>
      <c r="F190" t="inlineStr">
        <is>
          <t>Estévão - Brazil</t>
        </is>
      </c>
      <c r="G190" t="inlineStr">
        <is>
          <t>Base</t>
        </is>
      </c>
      <c r="I190" t="n">
        <v>0</v>
      </c>
    </row>
    <row r="191">
      <c r="A191">
        <f>CHOOSE(MATCH(Config!$B$2,{"PT";"EN"},0),"Seleção","Team")</f>
        <v/>
      </c>
      <c r="B191" t="inlineStr">
        <is>
          <t>Grupo C</t>
        </is>
      </c>
      <c r="C191" t="inlineStr">
        <is>
          <t>MAR</t>
        </is>
      </c>
      <c r="D191" t="inlineStr">
        <is>
          <t>Morocco</t>
        </is>
      </c>
      <c r="E191" t="inlineStr">
        <is>
          <t>MAR1</t>
        </is>
      </c>
      <c r="F191" t="inlineStr">
        <is>
          <t>Team Logo - Morocco FOIL</t>
        </is>
      </c>
      <c r="G191" t="inlineStr">
        <is>
          <t>FOIL</t>
        </is>
      </c>
      <c r="I191" t="n">
        <v>0</v>
      </c>
    </row>
    <row r="192">
      <c r="A192">
        <f>CHOOSE(MATCH(Config!$B$2,{"PT";"EN"},0),"Seleção","Team")</f>
        <v/>
      </c>
      <c r="B192" t="inlineStr">
        <is>
          <t>Grupo C</t>
        </is>
      </c>
      <c r="C192" t="inlineStr">
        <is>
          <t>MAR</t>
        </is>
      </c>
      <c r="D192" t="inlineStr">
        <is>
          <t>Morocco</t>
        </is>
      </c>
      <c r="E192" t="inlineStr">
        <is>
          <t>MAR2</t>
        </is>
      </c>
      <c r="F192" t="inlineStr">
        <is>
          <t>Yassine Bounou - Morocco</t>
        </is>
      </c>
      <c r="G192" t="inlineStr">
        <is>
          <t>Base</t>
        </is>
      </c>
      <c r="I192" t="n">
        <v>0</v>
      </c>
    </row>
    <row r="193">
      <c r="A193">
        <f>CHOOSE(MATCH(Config!$B$2,{"PT";"EN"},0),"Seleção","Team")</f>
        <v/>
      </c>
      <c r="B193" t="inlineStr">
        <is>
          <t>Grupo C</t>
        </is>
      </c>
      <c r="C193" t="inlineStr">
        <is>
          <t>MAR</t>
        </is>
      </c>
      <c r="D193" t="inlineStr">
        <is>
          <t>Morocco</t>
        </is>
      </c>
      <c r="E193" t="inlineStr">
        <is>
          <t>MAR3</t>
        </is>
      </c>
      <c r="F193" t="inlineStr">
        <is>
          <t>Munir El Kajoui - Morocco</t>
        </is>
      </c>
      <c r="G193" t="inlineStr">
        <is>
          <t>Base</t>
        </is>
      </c>
      <c r="I193" t="n">
        <v>0</v>
      </c>
    </row>
    <row r="194">
      <c r="A194">
        <f>CHOOSE(MATCH(Config!$B$2,{"PT";"EN"},0),"Seleção","Team")</f>
        <v/>
      </c>
      <c r="B194" t="inlineStr">
        <is>
          <t>Grupo C</t>
        </is>
      </c>
      <c r="C194" t="inlineStr">
        <is>
          <t>MAR</t>
        </is>
      </c>
      <c r="D194" t="inlineStr">
        <is>
          <t>Morocco</t>
        </is>
      </c>
      <c r="E194" t="inlineStr">
        <is>
          <t>MAR4</t>
        </is>
      </c>
      <c r="F194" t="inlineStr">
        <is>
          <t>Achraf Hakimi - Morocco</t>
        </is>
      </c>
      <c r="G194" t="inlineStr">
        <is>
          <t>Base</t>
        </is>
      </c>
      <c r="I194" t="n">
        <v>0</v>
      </c>
    </row>
    <row r="195">
      <c r="A195">
        <f>CHOOSE(MATCH(Config!$B$2,{"PT";"EN"},0),"Seleção","Team")</f>
        <v/>
      </c>
      <c r="B195" t="inlineStr">
        <is>
          <t>Grupo C</t>
        </is>
      </c>
      <c r="C195" t="inlineStr">
        <is>
          <t>MAR</t>
        </is>
      </c>
      <c r="D195" t="inlineStr">
        <is>
          <t>Morocco</t>
        </is>
      </c>
      <c r="E195" t="inlineStr">
        <is>
          <t>MAR5</t>
        </is>
      </c>
      <c r="F195" t="inlineStr">
        <is>
          <t>Noussair Mazraoui - Morocco</t>
        </is>
      </c>
      <c r="G195" t="inlineStr">
        <is>
          <t>Base</t>
        </is>
      </c>
      <c r="I195" t="n">
        <v>0</v>
      </c>
    </row>
    <row r="196">
      <c r="A196">
        <f>CHOOSE(MATCH(Config!$B$2,{"PT";"EN"},0),"Seleção","Team")</f>
        <v/>
      </c>
      <c r="B196" t="inlineStr">
        <is>
          <t>Grupo C</t>
        </is>
      </c>
      <c r="C196" t="inlineStr">
        <is>
          <t>MAR</t>
        </is>
      </c>
      <c r="D196" t="inlineStr">
        <is>
          <t>Morocco</t>
        </is>
      </c>
      <c r="E196" t="inlineStr">
        <is>
          <t>MAR6</t>
        </is>
      </c>
      <c r="F196" t="inlineStr">
        <is>
          <t>Nayef Aguerd - Morocco</t>
        </is>
      </c>
      <c r="G196" t="inlineStr">
        <is>
          <t>Base</t>
        </is>
      </c>
      <c r="I196" t="n">
        <v>0</v>
      </c>
    </row>
    <row r="197">
      <c r="A197">
        <f>CHOOSE(MATCH(Config!$B$2,{"PT";"EN"},0),"Seleção","Team")</f>
        <v/>
      </c>
      <c r="B197" t="inlineStr">
        <is>
          <t>Grupo C</t>
        </is>
      </c>
      <c r="C197" t="inlineStr">
        <is>
          <t>MAR</t>
        </is>
      </c>
      <c r="D197" t="inlineStr">
        <is>
          <t>Morocco</t>
        </is>
      </c>
      <c r="E197" t="inlineStr">
        <is>
          <t>MAR7</t>
        </is>
      </c>
      <c r="F197" t="inlineStr">
        <is>
          <t>Roman Saiss - Morocco</t>
        </is>
      </c>
      <c r="G197" t="inlineStr">
        <is>
          <t>Base</t>
        </is>
      </c>
      <c r="I197" t="n">
        <v>0</v>
      </c>
    </row>
    <row r="198">
      <c r="A198">
        <f>CHOOSE(MATCH(Config!$B$2,{"PT";"EN"},0),"Seleção","Team")</f>
        <v/>
      </c>
      <c r="B198" t="inlineStr">
        <is>
          <t>Grupo C</t>
        </is>
      </c>
      <c r="C198" t="inlineStr">
        <is>
          <t>MAR</t>
        </is>
      </c>
      <c r="D198" t="inlineStr">
        <is>
          <t>Morocco</t>
        </is>
      </c>
      <c r="E198" t="inlineStr">
        <is>
          <t>MAR8</t>
        </is>
      </c>
      <c r="F198" t="inlineStr">
        <is>
          <t>Jawad El Yamio - Morocco</t>
        </is>
      </c>
      <c r="G198" t="inlineStr">
        <is>
          <t>Base</t>
        </is>
      </c>
      <c r="I198" t="n">
        <v>0</v>
      </c>
    </row>
    <row r="199">
      <c r="A199">
        <f>CHOOSE(MATCH(Config!$B$2,{"PT";"EN"},0),"Seleção","Team")</f>
        <v/>
      </c>
      <c r="B199" t="inlineStr">
        <is>
          <t>Grupo C</t>
        </is>
      </c>
      <c r="C199" t="inlineStr">
        <is>
          <t>MAR</t>
        </is>
      </c>
      <c r="D199" t="inlineStr">
        <is>
          <t>Morocco</t>
        </is>
      </c>
      <c r="E199" t="inlineStr">
        <is>
          <t>MAR9</t>
        </is>
      </c>
      <c r="F199" t="inlineStr">
        <is>
          <t>Adam Masina - Morocco</t>
        </is>
      </c>
      <c r="G199" t="inlineStr">
        <is>
          <t>Base</t>
        </is>
      </c>
      <c r="I199" t="n">
        <v>0</v>
      </c>
    </row>
    <row r="200">
      <c r="A200">
        <f>CHOOSE(MATCH(Config!$B$2,{"PT";"EN"},0),"Seleção","Team")</f>
        <v/>
      </c>
      <c r="B200" t="inlineStr">
        <is>
          <t>Grupo C</t>
        </is>
      </c>
      <c r="C200" t="inlineStr">
        <is>
          <t>MAR</t>
        </is>
      </c>
      <c r="D200" t="inlineStr">
        <is>
          <t>Morocco</t>
        </is>
      </c>
      <c r="E200" t="inlineStr">
        <is>
          <t>MAR10</t>
        </is>
      </c>
      <c r="F200" t="inlineStr">
        <is>
          <t>Sofyan Amrabat - Morocco</t>
        </is>
      </c>
      <c r="G200" t="inlineStr">
        <is>
          <t>Base</t>
        </is>
      </c>
      <c r="I200" t="n">
        <v>0</v>
      </c>
    </row>
    <row r="201">
      <c r="A201">
        <f>CHOOSE(MATCH(Config!$B$2,{"PT";"EN"},0),"Seleção","Team")</f>
        <v/>
      </c>
      <c r="B201" t="inlineStr">
        <is>
          <t>Grupo C</t>
        </is>
      </c>
      <c r="C201" t="inlineStr">
        <is>
          <t>MAR</t>
        </is>
      </c>
      <c r="D201" t="inlineStr">
        <is>
          <t>Morocco</t>
        </is>
      </c>
      <c r="E201" t="inlineStr">
        <is>
          <t>MAR11</t>
        </is>
      </c>
      <c r="F201" t="inlineStr">
        <is>
          <t>Azzedine Ounahi - Morocco</t>
        </is>
      </c>
      <c r="G201" t="inlineStr">
        <is>
          <t>Base</t>
        </is>
      </c>
      <c r="I201" t="n">
        <v>0</v>
      </c>
    </row>
    <row r="202">
      <c r="A202">
        <f>CHOOSE(MATCH(Config!$B$2,{"PT";"EN"},0),"Seleção","Team")</f>
        <v/>
      </c>
      <c r="B202" t="inlineStr">
        <is>
          <t>Grupo C</t>
        </is>
      </c>
      <c r="C202" t="inlineStr">
        <is>
          <t>MAR</t>
        </is>
      </c>
      <c r="D202" t="inlineStr">
        <is>
          <t>Morocco</t>
        </is>
      </c>
      <c r="E202" t="inlineStr">
        <is>
          <t>MAR12</t>
        </is>
      </c>
      <c r="F202" t="inlineStr">
        <is>
          <t>Eliesse Ben Seghir - Morocco</t>
        </is>
      </c>
      <c r="G202" t="inlineStr">
        <is>
          <t>Base</t>
        </is>
      </c>
      <c r="I202" t="n">
        <v>0</v>
      </c>
    </row>
    <row r="203">
      <c r="A203">
        <f>CHOOSE(MATCH(Config!$B$2,{"PT";"EN"},0),"Seleção","Team")</f>
        <v/>
      </c>
      <c r="B203" t="inlineStr">
        <is>
          <t>Grupo C</t>
        </is>
      </c>
      <c r="C203" t="inlineStr">
        <is>
          <t>MAR</t>
        </is>
      </c>
      <c r="D203" t="inlineStr">
        <is>
          <t>Morocco</t>
        </is>
      </c>
      <c r="E203" t="inlineStr">
        <is>
          <t>MAR13</t>
        </is>
      </c>
      <c r="F203" t="inlineStr">
        <is>
          <t>Team Photo - Morocco</t>
        </is>
      </c>
      <c r="G203" t="inlineStr">
        <is>
          <t>Base</t>
        </is>
      </c>
      <c r="I203" t="n">
        <v>0</v>
      </c>
    </row>
    <row r="204">
      <c r="A204">
        <f>CHOOSE(MATCH(Config!$B$2,{"PT";"EN"},0),"Seleção","Team")</f>
        <v/>
      </c>
      <c r="B204" t="inlineStr">
        <is>
          <t>Grupo C</t>
        </is>
      </c>
      <c r="C204" t="inlineStr">
        <is>
          <t>MAR</t>
        </is>
      </c>
      <c r="D204" t="inlineStr">
        <is>
          <t>Morocco</t>
        </is>
      </c>
      <c r="E204" t="inlineStr">
        <is>
          <t>MAR14</t>
        </is>
      </c>
      <c r="F204" t="inlineStr">
        <is>
          <t>Bilal El Khannouss - Morocco</t>
        </is>
      </c>
      <c r="G204" t="inlineStr">
        <is>
          <t>Base</t>
        </is>
      </c>
      <c r="I204" t="n">
        <v>0</v>
      </c>
    </row>
    <row r="205">
      <c r="A205">
        <f>CHOOSE(MATCH(Config!$B$2,{"PT";"EN"},0),"Seleção","Team")</f>
        <v/>
      </c>
      <c r="B205" t="inlineStr">
        <is>
          <t>Grupo C</t>
        </is>
      </c>
      <c r="C205" t="inlineStr">
        <is>
          <t>MAR</t>
        </is>
      </c>
      <c r="D205" t="inlineStr">
        <is>
          <t>Morocco</t>
        </is>
      </c>
      <c r="E205" t="inlineStr">
        <is>
          <t>MAR15</t>
        </is>
      </c>
      <c r="F205" t="inlineStr">
        <is>
          <t>Ismael Saibari - Morocco</t>
        </is>
      </c>
      <c r="G205" t="inlineStr">
        <is>
          <t>Base</t>
        </is>
      </c>
      <c r="I205" t="n">
        <v>0</v>
      </c>
    </row>
    <row r="206">
      <c r="A206">
        <f>CHOOSE(MATCH(Config!$B$2,{"PT";"EN"},0),"Seleção","Team")</f>
        <v/>
      </c>
      <c r="B206" t="inlineStr">
        <is>
          <t>Grupo C</t>
        </is>
      </c>
      <c r="C206" t="inlineStr">
        <is>
          <t>MAR</t>
        </is>
      </c>
      <c r="D206" t="inlineStr">
        <is>
          <t>Morocco</t>
        </is>
      </c>
      <c r="E206" t="inlineStr">
        <is>
          <t>MAR16</t>
        </is>
      </c>
      <c r="F206" t="inlineStr">
        <is>
          <t>Youssef En-Nesyri - Morocco</t>
        </is>
      </c>
      <c r="G206" t="inlineStr">
        <is>
          <t>Base</t>
        </is>
      </c>
      <c r="I206" t="n">
        <v>0</v>
      </c>
    </row>
    <row r="207">
      <c r="A207">
        <f>CHOOSE(MATCH(Config!$B$2,{"PT";"EN"},0),"Seleção","Team")</f>
        <v/>
      </c>
      <c r="B207" t="inlineStr">
        <is>
          <t>Grupo C</t>
        </is>
      </c>
      <c r="C207" t="inlineStr">
        <is>
          <t>MAR</t>
        </is>
      </c>
      <c r="D207" t="inlineStr">
        <is>
          <t>Morocco</t>
        </is>
      </c>
      <c r="E207" t="inlineStr">
        <is>
          <t>MAR17</t>
        </is>
      </c>
      <c r="F207" t="inlineStr">
        <is>
          <t>Abde Ezzalzouli - Morocco</t>
        </is>
      </c>
      <c r="G207" t="inlineStr">
        <is>
          <t>Base</t>
        </is>
      </c>
      <c r="I207" t="n">
        <v>0</v>
      </c>
    </row>
    <row r="208">
      <c r="A208">
        <f>CHOOSE(MATCH(Config!$B$2,{"PT";"EN"},0),"Seleção","Team")</f>
        <v/>
      </c>
      <c r="B208" t="inlineStr">
        <is>
          <t>Grupo C</t>
        </is>
      </c>
      <c r="C208" t="inlineStr">
        <is>
          <t>MAR</t>
        </is>
      </c>
      <c r="D208" t="inlineStr">
        <is>
          <t>Morocco</t>
        </is>
      </c>
      <c r="E208" t="inlineStr">
        <is>
          <t>MAR18</t>
        </is>
      </c>
      <c r="F208" t="inlineStr">
        <is>
          <t>Soufiane Rahimi - Morocco</t>
        </is>
      </c>
      <c r="G208" t="inlineStr">
        <is>
          <t>Base</t>
        </is>
      </c>
      <c r="I208" t="n">
        <v>0</v>
      </c>
    </row>
    <row r="209">
      <c r="A209">
        <f>CHOOSE(MATCH(Config!$B$2,{"PT";"EN"},0),"Seleção","Team")</f>
        <v/>
      </c>
      <c r="B209" t="inlineStr">
        <is>
          <t>Grupo C</t>
        </is>
      </c>
      <c r="C209" t="inlineStr">
        <is>
          <t>MAR</t>
        </is>
      </c>
      <c r="D209" t="inlineStr">
        <is>
          <t>Morocco</t>
        </is>
      </c>
      <c r="E209" t="inlineStr">
        <is>
          <t>MAR19</t>
        </is>
      </c>
      <c r="F209" t="inlineStr">
        <is>
          <t>Brahim Diaz - Morocco</t>
        </is>
      </c>
      <c r="G209" t="inlineStr">
        <is>
          <t>Base</t>
        </is>
      </c>
      <c r="I209" t="n">
        <v>0</v>
      </c>
    </row>
    <row r="210">
      <c r="A210">
        <f>CHOOSE(MATCH(Config!$B$2,{"PT";"EN"},0),"Seleção","Team")</f>
        <v/>
      </c>
      <c r="B210" t="inlineStr">
        <is>
          <t>Grupo C</t>
        </is>
      </c>
      <c r="C210" t="inlineStr">
        <is>
          <t>MAR</t>
        </is>
      </c>
      <c r="D210" t="inlineStr">
        <is>
          <t>Morocco</t>
        </is>
      </c>
      <c r="E210" t="inlineStr">
        <is>
          <t>MAR20</t>
        </is>
      </c>
      <c r="F210" t="inlineStr">
        <is>
          <t>Ayoub El Kaabi - Morocco</t>
        </is>
      </c>
      <c r="G210" t="inlineStr">
        <is>
          <t>Base</t>
        </is>
      </c>
      <c r="I210" t="n">
        <v>0</v>
      </c>
    </row>
    <row r="211">
      <c r="A211">
        <f>CHOOSE(MATCH(Config!$B$2,{"PT";"EN"},0),"Seleção","Team")</f>
        <v/>
      </c>
      <c r="B211" t="inlineStr">
        <is>
          <t>Grupo C</t>
        </is>
      </c>
      <c r="C211" t="inlineStr">
        <is>
          <t>HAI</t>
        </is>
      </c>
      <c r="D211" t="inlineStr">
        <is>
          <t>Haiti</t>
        </is>
      </c>
      <c r="E211" t="inlineStr">
        <is>
          <t>HAI1</t>
        </is>
      </c>
      <c r="F211" t="inlineStr">
        <is>
          <t>Team Logo - Haiti FOIL</t>
        </is>
      </c>
      <c r="G211" t="inlineStr">
        <is>
          <t>FOIL</t>
        </is>
      </c>
      <c r="I211" t="n">
        <v>0</v>
      </c>
    </row>
    <row r="212">
      <c r="A212">
        <f>CHOOSE(MATCH(Config!$B$2,{"PT";"EN"},0),"Seleção","Team")</f>
        <v/>
      </c>
      <c r="B212" t="inlineStr">
        <is>
          <t>Grupo C</t>
        </is>
      </c>
      <c r="C212" t="inlineStr">
        <is>
          <t>HAI</t>
        </is>
      </c>
      <c r="D212" t="inlineStr">
        <is>
          <t>Haiti</t>
        </is>
      </c>
      <c r="E212" t="inlineStr">
        <is>
          <t>HAI2</t>
        </is>
      </c>
      <c r="F212" t="inlineStr">
        <is>
          <t>Johny Placide - Haiti</t>
        </is>
      </c>
      <c r="G212" t="inlineStr">
        <is>
          <t>Base</t>
        </is>
      </c>
      <c r="I212" t="n">
        <v>0</v>
      </c>
    </row>
    <row r="213">
      <c r="A213">
        <f>CHOOSE(MATCH(Config!$B$2,{"PT";"EN"},0),"Seleção","Team")</f>
        <v/>
      </c>
      <c r="B213" t="inlineStr">
        <is>
          <t>Grupo C</t>
        </is>
      </c>
      <c r="C213" t="inlineStr">
        <is>
          <t>HAI</t>
        </is>
      </c>
      <c r="D213" t="inlineStr">
        <is>
          <t>Haiti</t>
        </is>
      </c>
      <c r="E213" t="inlineStr">
        <is>
          <t>HAI3</t>
        </is>
      </c>
      <c r="F213" t="inlineStr">
        <is>
          <t>Carlens Arcus - Haiti</t>
        </is>
      </c>
      <c r="G213" t="inlineStr">
        <is>
          <t>Base</t>
        </is>
      </c>
      <c r="I213" t="n">
        <v>0</v>
      </c>
    </row>
    <row r="214">
      <c r="A214">
        <f>CHOOSE(MATCH(Config!$B$2,{"PT";"EN"},0),"Seleção","Team")</f>
        <v/>
      </c>
      <c r="B214" t="inlineStr">
        <is>
          <t>Grupo C</t>
        </is>
      </c>
      <c r="C214" t="inlineStr">
        <is>
          <t>HAI</t>
        </is>
      </c>
      <c r="D214" t="inlineStr">
        <is>
          <t>Haiti</t>
        </is>
      </c>
      <c r="E214" t="inlineStr">
        <is>
          <t>HAI4</t>
        </is>
      </c>
      <c r="F214" t="inlineStr">
        <is>
          <t>Martin Expérience - Haiti</t>
        </is>
      </c>
      <c r="G214" t="inlineStr">
        <is>
          <t>Base</t>
        </is>
      </c>
      <c r="I214" t="n">
        <v>0</v>
      </c>
    </row>
    <row r="215">
      <c r="A215">
        <f>CHOOSE(MATCH(Config!$B$2,{"PT";"EN"},0),"Seleção","Team")</f>
        <v/>
      </c>
      <c r="B215" t="inlineStr">
        <is>
          <t>Grupo C</t>
        </is>
      </c>
      <c r="C215" t="inlineStr">
        <is>
          <t>HAI</t>
        </is>
      </c>
      <c r="D215" t="inlineStr">
        <is>
          <t>Haiti</t>
        </is>
      </c>
      <c r="E215" t="inlineStr">
        <is>
          <t>HAI5</t>
        </is>
      </c>
      <c r="F215" t="inlineStr">
        <is>
          <t>Jean-Kevin Duverne - Haiti</t>
        </is>
      </c>
      <c r="G215" t="inlineStr">
        <is>
          <t>Base</t>
        </is>
      </c>
      <c r="I215" t="n">
        <v>0</v>
      </c>
    </row>
    <row r="216">
      <c r="A216">
        <f>CHOOSE(MATCH(Config!$B$2,{"PT";"EN"},0),"Seleção","Team")</f>
        <v/>
      </c>
      <c r="B216" t="inlineStr">
        <is>
          <t>Grupo C</t>
        </is>
      </c>
      <c r="C216" t="inlineStr">
        <is>
          <t>HAI</t>
        </is>
      </c>
      <c r="D216" t="inlineStr">
        <is>
          <t>Haiti</t>
        </is>
      </c>
      <c r="E216" t="inlineStr">
        <is>
          <t>HAI6</t>
        </is>
      </c>
      <c r="F216" t="inlineStr">
        <is>
          <t>Ricardo Adé - Haiti</t>
        </is>
      </c>
      <c r="G216" t="inlineStr">
        <is>
          <t>Base</t>
        </is>
      </c>
      <c r="I216" t="n">
        <v>0</v>
      </c>
    </row>
    <row r="217">
      <c r="A217">
        <f>CHOOSE(MATCH(Config!$B$2,{"PT";"EN"},0),"Seleção","Team")</f>
        <v/>
      </c>
      <c r="B217" t="inlineStr">
        <is>
          <t>Grupo C</t>
        </is>
      </c>
      <c r="C217" t="inlineStr">
        <is>
          <t>HAI</t>
        </is>
      </c>
      <c r="D217" t="inlineStr">
        <is>
          <t>Haiti</t>
        </is>
      </c>
      <c r="E217" t="inlineStr">
        <is>
          <t>HAI7</t>
        </is>
      </c>
      <c r="F217" t="inlineStr">
        <is>
          <t>Duke Lacroix - Haiti</t>
        </is>
      </c>
      <c r="G217" t="inlineStr">
        <is>
          <t>Base</t>
        </is>
      </c>
      <c r="I217" t="n">
        <v>0</v>
      </c>
    </row>
    <row r="218">
      <c r="A218">
        <f>CHOOSE(MATCH(Config!$B$2,{"PT";"EN"},0),"Seleção","Team")</f>
        <v/>
      </c>
      <c r="B218" t="inlineStr">
        <is>
          <t>Grupo C</t>
        </is>
      </c>
      <c r="C218" t="inlineStr">
        <is>
          <t>HAI</t>
        </is>
      </c>
      <c r="D218" t="inlineStr">
        <is>
          <t>Haiti</t>
        </is>
      </c>
      <c r="E218" t="inlineStr">
        <is>
          <t>HAI8</t>
        </is>
      </c>
      <c r="F218" t="inlineStr">
        <is>
          <t>Garven Metusala - Haiti</t>
        </is>
      </c>
      <c r="G218" t="inlineStr">
        <is>
          <t>Base</t>
        </is>
      </c>
      <c r="I218" t="n">
        <v>0</v>
      </c>
    </row>
    <row r="219">
      <c r="A219">
        <f>CHOOSE(MATCH(Config!$B$2,{"PT";"EN"},0),"Seleção","Team")</f>
        <v/>
      </c>
      <c r="B219" t="inlineStr">
        <is>
          <t>Grupo C</t>
        </is>
      </c>
      <c r="C219" t="inlineStr">
        <is>
          <t>HAI</t>
        </is>
      </c>
      <c r="D219" t="inlineStr">
        <is>
          <t>Haiti</t>
        </is>
      </c>
      <c r="E219" t="inlineStr">
        <is>
          <t>HAI9</t>
        </is>
      </c>
      <c r="F219" t="inlineStr">
        <is>
          <t>Hannes Delcroix - Haiti</t>
        </is>
      </c>
      <c r="G219" t="inlineStr">
        <is>
          <t>Base</t>
        </is>
      </c>
      <c r="I219" t="n">
        <v>0</v>
      </c>
    </row>
    <row r="220">
      <c r="A220">
        <f>CHOOSE(MATCH(Config!$B$2,{"PT";"EN"},0),"Seleção","Team")</f>
        <v/>
      </c>
      <c r="B220" t="inlineStr">
        <is>
          <t>Grupo C</t>
        </is>
      </c>
      <c r="C220" t="inlineStr">
        <is>
          <t>HAI</t>
        </is>
      </c>
      <c r="D220" t="inlineStr">
        <is>
          <t>Haiti</t>
        </is>
      </c>
      <c r="E220" t="inlineStr">
        <is>
          <t>HAI10</t>
        </is>
      </c>
      <c r="F220" t="inlineStr">
        <is>
          <t>Leverton Pierre - Haiti</t>
        </is>
      </c>
      <c r="G220" t="inlineStr">
        <is>
          <t>Base</t>
        </is>
      </c>
      <c r="I220" t="n">
        <v>0</v>
      </c>
    </row>
    <row r="221">
      <c r="A221">
        <f>CHOOSE(MATCH(Config!$B$2,{"PT";"EN"},0),"Seleção","Team")</f>
        <v/>
      </c>
      <c r="B221" t="inlineStr">
        <is>
          <t>Grupo C</t>
        </is>
      </c>
      <c r="C221" t="inlineStr">
        <is>
          <t>HAI</t>
        </is>
      </c>
      <c r="D221" t="inlineStr">
        <is>
          <t>Haiti</t>
        </is>
      </c>
      <c r="E221" t="inlineStr">
        <is>
          <t>HAI11</t>
        </is>
      </c>
      <c r="F221" t="inlineStr">
        <is>
          <t>Danley Jean Jacques - Haiti</t>
        </is>
      </c>
      <c r="G221" t="inlineStr">
        <is>
          <t>Base</t>
        </is>
      </c>
      <c r="I221" t="n">
        <v>0</v>
      </c>
    </row>
    <row r="222">
      <c r="A222">
        <f>CHOOSE(MATCH(Config!$B$2,{"PT";"EN"},0),"Seleção","Team")</f>
        <v/>
      </c>
      <c r="B222" t="inlineStr">
        <is>
          <t>Grupo C</t>
        </is>
      </c>
      <c r="C222" t="inlineStr">
        <is>
          <t>HAI</t>
        </is>
      </c>
      <c r="D222" t="inlineStr">
        <is>
          <t>Haiti</t>
        </is>
      </c>
      <c r="E222" t="inlineStr">
        <is>
          <t>HAI12</t>
        </is>
      </c>
      <c r="F222" t="inlineStr">
        <is>
          <t>Jean-Ricner Bellegarde - Haiti</t>
        </is>
      </c>
      <c r="G222" t="inlineStr">
        <is>
          <t>Base</t>
        </is>
      </c>
      <c r="I222" t="n">
        <v>0</v>
      </c>
    </row>
    <row r="223">
      <c r="A223">
        <f>CHOOSE(MATCH(Config!$B$2,{"PT";"EN"},0),"Seleção","Team")</f>
        <v/>
      </c>
      <c r="B223" t="inlineStr">
        <is>
          <t>Grupo C</t>
        </is>
      </c>
      <c r="C223" t="inlineStr">
        <is>
          <t>HAI</t>
        </is>
      </c>
      <c r="D223" t="inlineStr">
        <is>
          <t>Haiti</t>
        </is>
      </c>
      <c r="E223" t="inlineStr">
        <is>
          <t>HAI13</t>
        </is>
      </c>
      <c r="F223" t="inlineStr">
        <is>
          <t>Team Photo - Haiti</t>
        </is>
      </c>
      <c r="G223" t="inlineStr">
        <is>
          <t>Base</t>
        </is>
      </c>
      <c r="I223" t="n">
        <v>0</v>
      </c>
    </row>
    <row r="224">
      <c r="A224">
        <f>CHOOSE(MATCH(Config!$B$2,{"PT";"EN"},0),"Seleção","Team")</f>
        <v/>
      </c>
      <c r="B224" t="inlineStr">
        <is>
          <t>Grupo C</t>
        </is>
      </c>
      <c r="C224" t="inlineStr">
        <is>
          <t>HAI</t>
        </is>
      </c>
      <c r="D224" t="inlineStr">
        <is>
          <t>Haiti</t>
        </is>
      </c>
      <c r="E224" t="inlineStr">
        <is>
          <t>HAI14</t>
        </is>
      </c>
      <c r="F224" t="inlineStr">
        <is>
          <t>Christopher Attys - Haiti</t>
        </is>
      </c>
      <c r="G224" t="inlineStr">
        <is>
          <t>Base</t>
        </is>
      </c>
      <c r="I224" t="n">
        <v>0</v>
      </c>
    </row>
    <row r="225">
      <c r="A225">
        <f>CHOOSE(MATCH(Config!$B$2,{"PT";"EN"},0),"Seleção","Team")</f>
        <v/>
      </c>
      <c r="B225" t="inlineStr">
        <is>
          <t>Grupo C</t>
        </is>
      </c>
      <c r="C225" t="inlineStr">
        <is>
          <t>HAI</t>
        </is>
      </c>
      <c r="D225" t="inlineStr">
        <is>
          <t>Haiti</t>
        </is>
      </c>
      <c r="E225" t="inlineStr">
        <is>
          <t>HAI15</t>
        </is>
      </c>
      <c r="F225" t="inlineStr">
        <is>
          <t>Derrick Etienne Jr - Haiti</t>
        </is>
      </c>
      <c r="G225" t="inlineStr">
        <is>
          <t>Base</t>
        </is>
      </c>
      <c r="I225" t="n">
        <v>0</v>
      </c>
    </row>
    <row r="226">
      <c r="A226">
        <f>CHOOSE(MATCH(Config!$B$2,{"PT";"EN"},0),"Seleção","Team")</f>
        <v/>
      </c>
      <c r="B226" t="inlineStr">
        <is>
          <t>Grupo C</t>
        </is>
      </c>
      <c r="C226" t="inlineStr">
        <is>
          <t>HAI</t>
        </is>
      </c>
      <c r="D226" t="inlineStr">
        <is>
          <t>Haiti</t>
        </is>
      </c>
      <c r="E226" t="inlineStr">
        <is>
          <t>HAI16</t>
        </is>
      </c>
      <c r="F226" t="inlineStr">
        <is>
          <t>Josue Casimir - Haiti</t>
        </is>
      </c>
      <c r="G226" t="inlineStr">
        <is>
          <t>Base</t>
        </is>
      </c>
      <c r="I226" t="n">
        <v>0</v>
      </c>
    </row>
    <row r="227">
      <c r="A227">
        <f>CHOOSE(MATCH(Config!$B$2,{"PT";"EN"},0),"Seleção","Team")</f>
        <v/>
      </c>
      <c r="B227" t="inlineStr">
        <is>
          <t>Grupo C</t>
        </is>
      </c>
      <c r="C227" t="inlineStr">
        <is>
          <t>HAI</t>
        </is>
      </c>
      <c r="D227" t="inlineStr">
        <is>
          <t>Haiti</t>
        </is>
      </c>
      <c r="E227" t="inlineStr">
        <is>
          <t>HAI17</t>
        </is>
      </c>
      <c r="F227" t="inlineStr">
        <is>
          <t>Ruben Providence - Haiti</t>
        </is>
      </c>
      <c r="G227" t="inlineStr">
        <is>
          <t>Base</t>
        </is>
      </c>
      <c r="I227" t="n">
        <v>0</v>
      </c>
    </row>
    <row r="228">
      <c r="A228">
        <f>CHOOSE(MATCH(Config!$B$2,{"PT";"EN"},0),"Seleção","Team")</f>
        <v/>
      </c>
      <c r="B228" t="inlineStr">
        <is>
          <t>Grupo C</t>
        </is>
      </c>
      <c r="C228" t="inlineStr">
        <is>
          <t>HAI</t>
        </is>
      </c>
      <c r="D228" t="inlineStr">
        <is>
          <t>Haiti</t>
        </is>
      </c>
      <c r="E228" t="inlineStr">
        <is>
          <t>HAI18</t>
        </is>
      </c>
      <c r="F228" t="inlineStr">
        <is>
          <t>Duckens Nazon - Haiti</t>
        </is>
      </c>
      <c r="G228" t="inlineStr">
        <is>
          <t>Base</t>
        </is>
      </c>
      <c r="I228" t="n">
        <v>0</v>
      </c>
    </row>
    <row r="229">
      <c r="A229">
        <f>CHOOSE(MATCH(Config!$B$2,{"PT";"EN"},0),"Seleção","Team")</f>
        <v/>
      </c>
      <c r="B229" t="inlineStr">
        <is>
          <t>Grupo C</t>
        </is>
      </c>
      <c r="C229" t="inlineStr">
        <is>
          <t>HAI</t>
        </is>
      </c>
      <c r="D229" t="inlineStr">
        <is>
          <t>Haiti</t>
        </is>
      </c>
      <c r="E229" t="inlineStr">
        <is>
          <t>HAI19</t>
        </is>
      </c>
      <c r="F229" t="inlineStr">
        <is>
          <t>Louicius Deedson - Haiti</t>
        </is>
      </c>
      <c r="G229" t="inlineStr">
        <is>
          <t>Base</t>
        </is>
      </c>
      <c r="I229" t="n">
        <v>0</v>
      </c>
    </row>
    <row r="230">
      <c r="A230">
        <f>CHOOSE(MATCH(Config!$B$2,{"PT";"EN"},0),"Seleção","Team")</f>
        <v/>
      </c>
      <c r="B230" t="inlineStr">
        <is>
          <t>Grupo C</t>
        </is>
      </c>
      <c r="C230" t="inlineStr">
        <is>
          <t>HAI</t>
        </is>
      </c>
      <c r="D230" t="inlineStr">
        <is>
          <t>Haiti</t>
        </is>
      </c>
      <c r="E230" t="inlineStr">
        <is>
          <t>HAI20</t>
        </is>
      </c>
      <c r="F230" t="inlineStr">
        <is>
          <t>Frantzdy Pierrot - Haiti</t>
        </is>
      </c>
      <c r="G230" t="inlineStr">
        <is>
          <t>Base</t>
        </is>
      </c>
      <c r="I230" t="n">
        <v>0</v>
      </c>
    </row>
    <row r="231">
      <c r="A231">
        <f>CHOOSE(MATCH(Config!$B$2,{"PT";"EN"},0),"Seleção","Team")</f>
        <v/>
      </c>
      <c r="B231" t="inlineStr">
        <is>
          <t>Grupo C</t>
        </is>
      </c>
      <c r="C231" t="inlineStr">
        <is>
          <t>SCO</t>
        </is>
      </c>
      <c r="D231" t="inlineStr">
        <is>
          <t>Scotland</t>
        </is>
      </c>
      <c r="E231" t="inlineStr">
        <is>
          <t>SCO1</t>
        </is>
      </c>
      <c r="F231" t="inlineStr">
        <is>
          <t>Team Logo - Scotland FOIL</t>
        </is>
      </c>
      <c r="G231" t="inlineStr">
        <is>
          <t>FOIL</t>
        </is>
      </c>
      <c r="I231" t="n">
        <v>0</v>
      </c>
    </row>
    <row r="232">
      <c r="A232">
        <f>CHOOSE(MATCH(Config!$B$2,{"PT";"EN"},0),"Seleção","Team")</f>
        <v/>
      </c>
      <c r="B232" t="inlineStr">
        <is>
          <t>Grupo C</t>
        </is>
      </c>
      <c r="C232" t="inlineStr">
        <is>
          <t>SCO</t>
        </is>
      </c>
      <c r="D232" t="inlineStr">
        <is>
          <t>Scotland</t>
        </is>
      </c>
      <c r="E232" t="inlineStr">
        <is>
          <t>SCO2</t>
        </is>
      </c>
      <c r="F232" t="inlineStr">
        <is>
          <t>Angus Gunn - Scotland</t>
        </is>
      </c>
      <c r="G232" t="inlineStr">
        <is>
          <t>Base</t>
        </is>
      </c>
      <c r="I232" t="n">
        <v>0</v>
      </c>
    </row>
    <row r="233">
      <c r="A233">
        <f>CHOOSE(MATCH(Config!$B$2,{"PT";"EN"},0),"Seleção","Team")</f>
        <v/>
      </c>
      <c r="B233" t="inlineStr">
        <is>
          <t>Grupo C</t>
        </is>
      </c>
      <c r="C233" t="inlineStr">
        <is>
          <t>SCO</t>
        </is>
      </c>
      <c r="D233" t="inlineStr">
        <is>
          <t>Scotland</t>
        </is>
      </c>
      <c r="E233" t="inlineStr">
        <is>
          <t>SCO3</t>
        </is>
      </c>
      <c r="F233" t="inlineStr">
        <is>
          <t>Jack Hendry - Scotland</t>
        </is>
      </c>
      <c r="G233" t="inlineStr">
        <is>
          <t>Base</t>
        </is>
      </c>
      <c r="I233" t="n">
        <v>0</v>
      </c>
    </row>
    <row r="234">
      <c r="A234">
        <f>CHOOSE(MATCH(Config!$B$2,{"PT";"EN"},0),"Seleção","Team")</f>
        <v/>
      </c>
      <c r="B234" t="inlineStr">
        <is>
          <t>Grupo C</t>
        </is>
      </c>
      <c r="C234" t="inlineStr">
        <is>
          <t>SCO</t>
        </is>
      </c>
      <c r="D234" t="inlineStr">
        <is>
          <t>Scotland</t>
        </is>
      </c>
      <c r="E234" t="inlineStr">
        <is>
          <t>SCO4</t>
        </is>
      </c>
      <c r="F234" t="inlineStr">
        <is>
          <t>Kieran Tierney - Scotland</t>
        </is>
      </c>
      <c r="G234" t="inlineStr">
        <is>
          <t>Base</t>
        </is>
      </c>
      <c r="I234" t="n">
        <v>0</v>
      </c>
    </row>
    <row r="235">
      <c r="A235">
        <f>CHOOSE(MATCH(Config!$B$2,{"PT";"EN"},0),"Seleção","Team")</f>
        <v/>
      </c>
      <c r="B235" t="inlineStr">
        <is>
          <t>Grupo C</t>
        </is>
      </c>
      <c r="C235" t="inlineStr">
        <is>
          <t>SCO</t>
        </is>
      </c>
      <c r="D235" t="inlineStr">
        <is>
          <t>Scotland</t>
        </is>
      </c>
      <c r="E235" t="inlineStr">
        <is>
          <t>SCO5</t>
        </is>
      </c>
      <c r="F235" t="inlineStr">
        <is>
          <t>Aaron Hickey - Scotland</t>
        </is>
      </c>
      <c r="G235" t="inlineStr">
        <is>
          <t>Base</t>
        </is>
      </c>
      <c r="I235" t="n">
        <v>0</v>
      </c>
    </row>
    <row r="236">
      <c r="A236">
        <f>CHOOSE(MATCH(Config!$B$2,{"PT";"EN"},0),"Seleção","Team")</f>
        <v/>
      </c>
      <c r="B236" t="inlineStr">
        <is>
          <t>Grupo C</t>
        </is>
      </c>
      <c r="C236" t="inlineStr">
        <is>
          <t>SCO</t>
        </is>
      </c>
      <c r="D236" t="inlineStr">
        <is>
          <t>Scotland</t>
        </is>
      </c>
      <c r="E236" t="inlineStr">
        <is>
          <t>SCO6</t>
        </is>
      </c>
      <c r="F236" t="inlineStr">
        <is>
          <t>Andrew Robertson - Scotland</t>
        </is>
      </c>
      <c r="G236" t="inlineStr">
        <is>
          <t>Base</t>
        </is>
      </c>
      <c r="I236" t="n">
        <v>0</v>
      </c>
    </row>
    <row r="237">
      <c r="A237">
        <f>CHOOSE(MATCH(Config!$B$2,{"PT";"EN"},0),"Seleção","Team")</f>
        <v/>
      </c>
      <c r="B237" t="inlineStr">
        <is>
          <t>Grupo C</t>
        </is>
      </c>
      <c r="C237" t="inlineStr">
        <is>
          <t>SCO</t>
        </is>
      </c>
      <c r="D237" t="inlineStr">
        <is>
          <t>Scotland</t>
        </is>
      </c>
      <c r="E237" t="inlineStr">
        <is>
          <t>SCO7</t>
        </is>
      </c>
      <c r="F237" t="inlineStr">
        <is>
          <t>Scott McKenna - Scotland</t>
        </is>
      </c>
      <c r="G237" t="inlineStr">
        <is>
          <t>Base</t>
        </is>
      </c>
      <c r="I237" t="n">
        <v>0</v>
      </c>
    </row>
    <row r="238">
      <c r="A238">
        <f>CHOOSE(MATCH(Config!$B$2,{"PT";"EN"},0),"Seleção","Team")</f>
        <v/>
      </c>
      <c r="B238" t="inlineStr">
        <is>
          <t>Grupo C</t>
        </is>
      </c>
      <c r="C238" t="inlineStr">
        <is>
          <t>SCO</t>
        </is>
      </c>
      <c r="D238" t="inlineStr">
        <is>
          <t>Scotland</t>
        </is>
      </c>
      <c r="E238" t="inlineStr">
        <is>
          <t>SCO8</t>
        </is>
      </c>
      <c r="F238" t="inlineStr">
        <is>
          <t>John Souttar - Scotland</t>
        </is>
      </c>
      <c r="G238" t="inlineStr">
        <is>
          <t>Base</t>
        </is>
      </c>
      <c r="I238" t="n">
        <v>0</v>
      </c>
    </row>
    <row r="239">
      <c r="A239">
        <f>CHOOSE(MATCH(Config!$B$2,{"PT";"EN"},0),"Seleção","Team")</f>
        <v/>
      </c>
      <c r="B239" t="inlineStr">
        <is>
          <t>Grupo C</t>
        </is>
      </c>
      <c r="C239" t="inlineStr">
        <is>
          <t>SCO</t>
        </is>
      </c>
      <c r="D239" t="inlineStr">
        <is>
          <t>Scotland</t>
        </is>
      </c>
      <c r="E239" t="inlineStr">
        <is>
          <t>SCO9</t>
        </is>
      </c>
      <c r="F239" t="inlineStr">
        <is>
          <t>Anthony Ralston - Scotland</t>
        </is>
      </c>
      <c r="G239" t="inlineStr">
        <is>
          <t>Base</t>
        </is>
      </c>
      <c r="I239" t="n">
        <v>0</v>
      </c>
    </row>
    <row r="240">
      <c r="A240">
        <f>CHOOSE(MATCH(Config!$B$2,{"PT";"EN"},0),"Seleção","Team")</f>
        <v/>
      </c>
      <c r="B240" t="inlineStr">
        <is>
          <t>Grupo C</t>
        </is>
      </c>
      <c r="C240" t="inlineStr">
        <is>
          <t>SCO</t>
        </is>
      </c>
      <c r="D240" t="inlineStr">
        <is>
          <t>Scotland</t>
        </is>
      </c>
      <c r="E240" t="inlineStr">
        <is>
          <t>SCO10</t>
        </is>
      </c>
      <c r="F240" t="inlineStr">
        <is>
          <t>Grant Hanley - Scotland</t>
        </is>
      </c>
      <c r="G240" t="inlineStr">
        <is>
          <t>Base</t>
        </is>
      </c>
      <c r="I240" t="n">
        <v>0</v>
      </c>
    </row>
    <row r="241">
      <c r="A241">
        <f>CHOOSE(MATCH(Config!$B$2,{"PT";"EN"},0),"Seleção","Team")</f>
        <v/>
      </c>
      <c r="B241" t="inlineStr">
        <is>
          <t>Grupo C</t>
        </is>
      </c>
      <c r="C241" t="inlineStr">
        <is>
          <t>SCO</t>
        </is>
      </c>
      <c r="D241" t="inlineStr">
        <is>
          <t>Scotland</t>
        </is>
      </c>
      <c r="E241" t="inlineStr">
        <is>
          <t>SCO11</t>
        </is>
      </c>
      <c r="F241" t="inlineStr">
        <is>
          <t>Scott McTominay - Scotland</t>
        </is>
      </c>
      <c r="G241" t="inlineStr">
        <is>
          <t>Base</t>
        </is>
      </c>
      <c r="I241" t="n">
        <v>0</v>
      </c>
    </row>
    <row r="242">
      <c r="A242">
        <f>CHOOSE(MATCH(Config!$B$2,{"PT";"EN"},0),"Seleção","Team")</f>
        <v/>
      </c>
      <c r="B242" t="inlineStr">
        <is>
          <t>Grupo C</t>
        </is>
      </c>
      <c r="C242" t="inlineStr">
        <is>
          <t>SCO</t>
        </is>
      </c>
      <c r="D242" t="inlineStr">
        <is>
          <t>Scotland</t>
        </is>
      </c>
      <c r="E242" t="inlineStr">
        <is>
          <t>SCO12</t>
        </is>
      </c>
      <c r="F242" t="inlineStr">
        <is>
          <t>Billy Gilmour - Scotland</t>
        </is>
      </c>
      <c r="G242" t="inlineStr">
        <is>
          <t>Base</t>
        </is>
      </c>
      <c r="I242" t="n">
        <v>0</v>
      </c>
    </row>
    <row r="243">
      <c r="A243">
        <f>CHOOSE(MATCH(Config!$B$2,{"PT";"EN"},0),"Seleção","Team")</f>
        <v/>
      </c>
      <c r="B243" t="inlineStr">
        <is>
          <t>Grupo C</t>
        </is>
      </c>
      <c r="C243" t="inlineStr">
        <is>
          <t>SCO</t>
        </is>
      </c>
      <c r="D243" t="inlineStr">
        <is>
          <t>Scotland</t>
        </is>
      </c>
      <c r="E243" t="inlineStr">
        <is>
          <t>SCO13</t>
        </is>
      </c>
      <c r="F243" t="inlineStr">
        <is>
          <t>Team Photo - Scotland</t>
        </is>
      </c>
      <c r="G243" t="inlineStr">
        <is>
          <t>Base</t>
        </is>
      </c>
      <c r="I243" t="n">
        <v>0</v>
      </c>
    </row>
    <row r="244">
      <c r="A244">
        <f>CHOOSE(MATCH(Config!$B$2,{"PT";"EN"},0),"Seleção","Team")</f>
        <v/>
      </c>
      <c r="B244" t="inlineStr">
        <is>
          <t>Grupo C</t>
        </is>
      </c>
      <c r="C244" t="inlineStr">
        <is>
          <t>SCO</t>
        </is>
      </c>
      <c r="D244" t="inlineStr">
        <is>
          <t>Scotland</t>
        </is>
      </c>
      <c r="E244" t="inlineStr">
        <is>
          <t>SCO14</t>
        </is>
      </c>
      <c r="F244" t="inlineStr">
        <is>
          <t>Lewis Ferguson - Scotland</t>
        </is>
      </c>
      <c r="G244" t="inlineStr">
        <is>
          <t>Base</t>
        </is>
      </c>
      <c r="I244" t="n">
        <v>0</v>
      </c>
    </row>
    <row r="245">
      <c r="A245">
        <f>CHOOSE(MATCH(Config!$B$2,{"PT";"EN"},0),"Seleção","Team")</f>
        <v/>
      </c>
      <c r="B245" t="inlineStr">
        <is>
          <t>Grupo C</t>
        </is>
      </c>
      <c r="C245" t="inlineStr">
        <is>
          <t>SCO</t>
        </is>
      </c>
      <c r="D245" t="inlineStr">
        <is>
          <t>Scotland</t>
        </is>
      </c>
      <c r="E245" t="inlineStr">
        <is>
          <t>SCO15</t>
        </is>
      </c>
      <c r="F245" t="inlineStr">
        <is>
          <t>Ryan Christie - Scotland</t>
        </is>
      </c>
      <c r="G245" t="inlineStr">
        <is>
          <t>Base</t>
        </is>
      </c>
      <c r="I245" t="n">
        <v>0</v>
      </c>
    </row>
    <row r="246">
      <c r="A246">
        <f>CHOOSE(MATCH(Config!$B$2,{"PT";"EN"},0),"Seleção","Team")</f>
        <v/>
      </c>
      <c r="B246" t="inlineStr">
        <is>
          <t>Grupo C</t>
        </is>
      </c>
      <c r="C246" t="inlineStr">
        <is>
          <t>SCO</t>
        </is>
      </c>
      <c r="D246" t="inlineStr">
        <is>
          <t>Scotland</t>
        </is>
      </c>
      <c r="E246" t="inlineStr">
        <is>
          <t>SCO16</t>
        </is>
      </c>
      <c r="F246" t="inlineStr">
        <is>
          <t>Kenny McLean - Scotland</t>
        </is>
      </c>
      <c r="G246" t="inlineStr">
        <is>
          <t>Base</t>
        </is>
      </c>
      <c r="I246" t="n">
        <v>0</v>
      </c>
    </row>
    <row r="247">
      <c r="A247">
        <f>CHOOSE(MATCH(Config!$B$2,{"PT";"EN"},0),"Seleção","Team")</f>
        <v/>
      </c>
      <c r="B247" t="inlineStr">
        <is>
          <t>Grupo C</t>
        </is>
      </c>
      <c r="C247" t="inlineStr">
        <is>
          <t>SCO</t>
        </is>
      </c>
      <c r="D247" t="inlineStr">
        <is>
          <t>Scotland</t>
        </is>
      </c>
      <c r="E247" t="inlineStr">
        <is>
          <t>SCO17</t>
        </is>
      </c>
      <c r="F247" t="inlineStr">
        <is>
          <t>John McGinn - Scotland</t>
        </is>
      </c>
      <c r="G247" t="inlineStr">
        <is>
          <t>Base</t>
        </is>
      </c>
      <c r="I247" t="n">
        <v>0</v>
      </c>
    </row>
    <row r="248">
      <c r="A248">
        <f>CHOOSE(MATCH(Config!$B$2,{"PT";"EN"},0),"Seleção","Team")</f>
        <v/>
      </c>
      <c r="B248" t="inlineStr">
        <is>
          <t>Grupo C</t>
        </is>
      </c>
      <c r="C248" t="inlineStr">
        <is>
          <t>SCO</t>
        </is>
      </c>
      <c r="D248" t="inlineStr">
        <is>
          <t>Scotland</t>
        </is>
      </c>
      <c r="E248" t="inlineStr">
        <is>
          <t>SCO18</t>
        </is>
      </c>
      <c r="F248" t="inlineStr">
        <is>
          <t>Lyndon Dykes - Scotland</t>
        </is>
      </c>
      <c r="G248" t="inlineStr">
        <is>
          <t>Base</t>
        </is>
      </c>
      <c r="I248" t="n">
        <v>0</v>
      </c>
    </row>
    <row r="249">
      <c r="A249">
        <f>CHOOSE(MATCH(Config!$B$2,{"PT";"EN"},0),"Seleção","Team")</f>
        <v/>
      </c>
      <c r="B249" t="inlineStr">
        <is>
          <t>Grupo C</t>
        </is>
      </c>
      <c r="C249" t="inlineStr">
        <is>
          <t>SCO</t>
        </is>
      </c>
      <c r="D249" t="inlineStr">
        <is>
          <t>Scotland</t>
        </is>
      </c>
      <c r="E249" t="inlineStr">
        <is>
          <t>SCO19</t>
        </is>
      </c>
      <c r="F249" t="inlineStr">
        <is>
          <t>Che Adams - Scotland</t>
        </is>
      </c>
      <c r="G249" t="inlineStr">
        <is>
          <t>Base</t>
        </is>
      </c>
      <c r="I249" t="n">
        <v>0</v>
      </c>
    </row>
    <row r="250">
      <c r="A250">
        <f>CHOOSE(MATCH(Config!$B$2,{"PT";"EN"},0),"Seleção","Team")</f>
        <v/>
      </c>
      <c r="B250" t="inlineStr">
        <is>
          <t>Grupo C</t>
        </is>
      </c>
      <c r="C250" t="inlineStr">
        <is>
          <t>SCO</t>
        </is>
      </c>
      <c r="D250" t="inlineStr">
        <is>
          <t>Scotland</t>
        </is>
      </c>
      <c r="E250" t="inlineStr">
        <is>
          <t>SCO20</t>
        </is>
      </c>
      <c r="F250" t="inlineStr">
        <is>
          <t>Ben Gannon-Doak - Scotland</t>
        </is>
      </c>
      <c r="G250" t="inlineStr">
        <is>
          <t>Base</t>
        </is>
      </c>
      <c r="I250" t="n">
        <v>0</v>
      </c>
    </row>
    <row r="251">
      <c r="A251">
        <f>CHOOSE(MATCH(Config!$B$2,{"PT";"EN"},0),"Seleção","Team")</f>
        <v/>
      </c>
      <c r="B251" t="inlineStr">
        <is>
          <t>Grupo D</t>
        </is>
      </c>
      <c r="C251" t="inlineStr">
        <is>
          <t>USA</t>
        </is>
      </c>
      <c r="D251" t="inlineStr">
        <is>
          <t>USA</t>
        </is>
      </c>
      <c r="E251" t="inlineStr">
        <is>
          <t>USA1</t>
        </is>
      </c>
      <c r="F251" t="inlineStr">
        <is>
          <t>Team Logo - USA FOIL</t>
        </is>
      </c>
      <c r="G251" t="inlineStr">
        <is>
          <t>FOIL</t>
        </is>
      </c>
      <c r="I251" t="n">
        <v>0</v>
      </c>
    </row>
    <row r="252">
      <c r="A252">
        <f>CHOOSE(MATCH(Config!$B$2,{"PT";"EN"},0),"Seleção","Team")</f>
        <v/>
      </c>
      <c r="B252" t="inlineStr">
        <is>
          <t>Grupo D</t>
        </is>
      </c>
      <c r="C252" t="inlineStr">
        <is>
          <t>USA</t>
        </is>
      </c>
      <c r="D252" t="inlineStr">
        <is>
          <t>USA</t>
        </is>
      </c>
      <c r="E252" t="inlineStr">
        <is>
          <t>USA2</t>
        </is>
      </c>
      <c r="F252" t="inlineStr">
        <is>
          <t>Math Freese - USA</t>
        </is>
      </c>
      <c r="G252" t="inlineStr">
        <is>
          <t>Base</t>
        </is>
      </c>
      <c r="I252" t="n">
        <v>0</v>
      </c>
    </row>
    <row r="253">
      <c r="A253">
        <f>CHOOSE(MATCH(Config!$B$2,{"PT";"EN"},0),"Seleção","Team")</f>
        <v/>
      </c>
      <c r="B253" t="inlineStr">
        <is>
          <t>Grupo D</t>
        </is>
      </c>
      <c r="C253" t="inlineStr">
        <is>
          <t>USA</t>
        </is>
      </c>
      <c r="D253" t="inlineStr">
        <is>
          <t>USA</t>
        </is>
      </c>
      <c r="E253" t="inlineStr">
        <is>
          <t>USA3</t>
        </is>
      </c>
      <c r="F253" t="inlineStr">
        <is>
          <t>Chris Richards - USA</t>
        </is>
      </c>
      <c r="G253" t="inlineStr">
        <is>
          <t>Base</t>
        </is>
      </c>
      <c r="I253" t="n">
        <v>0</v>
      </c>
    </row>
    <row r="254">
      <c r="A254">
        <f>CHOOSE(MATCH(Config!$B$2,{"PT";"EN"},0),"Seleção","Team")</f>
        <v/>
      </c>
      <c r="B254" t="inlineStr">
        <is>
          <t>Grupo D</t>
        </is>
      </c>
      <c r="C254" t="inlineStr">
        <is>
          <t>USA</t>
        </is>
      </c>
      <c r="D254" t="inlineStr">
        <is>
          <t>USA</t>
        </is>
      </c>
      <c r="E254" t="inlineStr">
        <is>
          <t>USA4</t>
        </is>
      </c>
      <c r="F254" t="inlineStr">
        <is>
          <t>Tim Ream - USA</t>
        </is>
      </c>
      <c r="G254" t="inlineStr">
        <is>
          <t>Base</t>
        </is>
      </c>
      <c r="I254" t="n">
        <v>0</v>
      </c>
    </row>
    <row r="255">
      <c r="A255">
        <f>CHOOSE(MATCH(Config!$B$2,{"PT";"EN"},0),"Seleção","Team")</f>
        <v/>
      </c>
      <c r="B255" t="inlineStr">
        <is>
          <t>Grupo D</t>
        </is>
      </c>
      <c r="C255" t="inlineStr">
        <is>
          <t>USA</t>
        </is>
      </c>
      <c r="D255" t="inlineStr">
        <is>
          <t>USA</t>
        </is>
      </c>
      <c r="E255" t="inlineStr">
        <is>
          <t>USA5</t>
        </is>
      </c>
      <c r="F255" t="inlineStr">
        <is>
          <t>Mark McKenzie - USA</t>
        </is>
      </c>
      <c r="G255" t="inlineStr">
        <is>
          <t>Base</t>
        </is>
      </c>
      <c r="I255" t="n">
        <v>0</v>
      </c>
    </row>
    <row r="256">
      <c r="A256">
        <f>CHOOSE(MATCH(Config!$B$2,{"PT";"EN"},0),"Seleção","Team")</f>
        <v/>
      </c>
      <c r="B256" t="inlineStr">
        <is>
          <t>Grupo D</t>
        </is>
      </c>
      <c r="C256" t="inlineStr">
        <is>
          <t>USA</t>
        </is>
      </c>
      <c r="D256" t="inlineStr">
        <is>
          <t>USA</t>
        </is>
      </c>
      <c r="E256" t="inlineStr">
        <is>
          <t>USA6</t>
        </is>
      </c>
      <c r="F256" t="inlineStr">
        <is>
          <t>Alex Freeman - USA</t>
        </is>
      </c>
      <c r="G256" t="inlineStr">
        <is>
          <t>Base</t>
        </is>
      </c>
      <c r="I256" t="n">
        <v>0</v>
      </c>
    </row>
    <row r="257">
      <c r="A257">
        <f>CHOOSE(MATCH(Config!$B$2,{"PT";"EN"},0),"Seleção","Team")</f>
        <v/>
      </c>
      <c r="B257" t="inlineStr">
        <is>
          <t>Grupo D</t>
        </is>
      </c>
      <c r="C257" t="inlineStr">
        <is>
          <t>USA</t>
        </is>
      </c>
      <c r="D257" t="inlineStr">
        <is>
          <t>USA</t>
        </is>
      </c>
      <c r="E257" t="inlineStr">
        <is>
          <t>USA7</t>
        </is>
      </c>
      <c r="F257" t="inlineStr">
        <is>
          <t>Antonee Robinson - USA</t>
        </is>
      </c>
      <c r="G257" t="inlineStr">
        <is>
          <t>Base</t>
        </is>
      </c>
      <c r="I257" t="n">
        <v>0</v>
      </c>
    </row>
    <row r="258">
      <c r="A258">
        <f>CHOOSE(MATCH(Config!$B$2,{"PT";"EN"},0),"Seleção","Team")</f>
        <v/>
      </c>
      <c r="B258" t="inlineStr">
        <is>
          <t>Grupo D</t>
        </is>
      </c>
      <c r="C258" t="inlineStr">
        <is>
          <t>USA</t>
        </is>
      </c>
      <c r="D258" t="inlineStr">
        <is>
          <t>USA</t>
        </is>
      </c>
      <c r="E258" t="inlineStr">
        <is>
          <t>USA8</t>
        </is>
      </c>
      <c r="F258" t="inlineStr">
        <is>
          <t>Tyler Adams - USA</t>
        </is>
      </c>
      <c r="G258" t="inlineStr">
        <is>
          <t>Base</t>
        </is>
      </c>
      <c r="I258" t="n">
        <v>0</v>
      </c>
    </row>
    <row r="259">
      <c r="A259">
        <f>CHOOSE(MATCH(Config!$B$2,{"PT";"EN"},0),"Seleção","Team")</f>
        <v/>
      </c>
      <c r="B259" t="inlineStr">
        <is>
          <t>Grupo D</t>
        </is>
      </c>
      <c r="C259" t="inlineStr">
        <is>
          <t>USA</t>
        </is>
      </c>
      <c r="D259" t="inlineStr">
        <is>
          <t>USA</t>
        </is>
      </c>
      <c r="E259" t="inlineStr">
        <is>
          <t>USA9</t>
        </is>
      </c>
      <c r="F259" t="inlineStr">
        <is>
          <t>Tanner Tessmann - USA</t>
        </is>
      </c>
      <c r="G259" t="inlineStr">
        <is>
          <t>Base</t>
        </is>
      </c>
      <c r="I259" t="n">
        <v>0</v>
      </c>
    </row>
    <row r="260">
      <c r="A260">
        <f>CHOOSE(MATCH(Config!$B$2,{"PT";"EN"},0),"Seleção","Team")</f>
        <v/>
      </c>
      <c r="B260" t="inlineStr">
        <is>
          <t>Grupo D</t>
        </is>
      </c>
      <c r="C260" t="inlineStr">
        <is>
          <t>USA</t>
        </is>
      </c>
      <c r="D260" t="inlineStr">
        <is>
          <t>USA</t>
        </is>
      </c>
      <c r="E260" t="inlineStr">
        <is>
          <t>USA10</t>
        </is>
      </c>
      <c r="F260" t="inlineStr">
        <is>
          <t>Weston McKenny - USA</t>
        </is>
      </c>
      <c r="G260" t="inlineStr">
        <is>
          <t>Base</t>
        </is>
      </c>
      <c r="I260" t="n">
        <v>0</v>
      </c>
    </row>
    <row r="261">
      <c r="A261">
        <f>CHOOSE(MATCH(Config!$B$2,{"PT";"EN"},0),"Seleção","Team")</f>
        <v/>
      </c>
      <c r="B261" t="inlineStr">
        <is>
          <t>Grupo D</t>
        </is>
      </c>
      <c r="C261" t="inlineStr">
        <is>
          <t>USA</t>
        </is>
      </c>
      <c r="D261" t="inlineStr">
        <is>
          <t>USA</t>
        </is>
      </c>
      <c r="E261" t="inlineStr">
        <is>
          <t>USA11</t>
        </is>
      </c>
      <c r="F261" t="inlineStr">
        <is>
          <t>Christian Roldan - USA</t>
        </is>
      </c>
      <c r="G261" t="inlineStr">
        <is>
          <t>Base</t>
        </is>
      </c>
      <c r="I261" t="n">
        <v>0</v>
      </c>
    </row>
    <row r="262">
      <c r="A262">
        <f>CHOOSE(MATCH(Config!$B$2,{"PT";"EN"},0),"Seleção","Team")</f>
        <v/>
      </c>
      <c r="B262" t="inlineStr">
        <is>
          <t>Grupo D</t>
        </is>
      </c>
      <c r="C262" t="inlineStr">
        <is>
          <t>USA</t>
        </is>
      </c>
      <c r="D262" t="inlineStr">
        <is>
          <t>USA</t>
        </is>
      </c>
      <c r="E262" t="inlineStr">
        <is>
          <t>USA12</t>
        </is>
      </c>
      <c r="F262" t="inlineStr">
        <is>
          <t>Timothy Weah - USA</t>
        </is>
      </c>
      <c r="G262" t="inlineStr">
        <is>
          <t>Base</t>
        </is>
      </c>
      <c r="I262" t="n">
        <v>0</v>
      </c>
    </row>
    <row r="263">
      <c r="A263">
        <f>CHOOSE(MATCH(Config!$B$2,{"PT";"EN"},0),"Seleção","Team")</f>
        <v/>
      </c>
      <c r="B263" t="inlineStr">
        <is>
          <t>Grupo D</t>
        </is>
      </c>
      <c r="C263" t="inlineStr">
        <is>
          <t>USA</t>
        </is>
      </c>
      <c r="D263" t="inlineStr">
        <is>
          <t>USA</t>
        </is>
      </c>
      <c r="E263" t="inlineStr">
        <is>
          <t>USA13</t>
        </is>
      </c>
      <c r="F263" t="inlineStr">
        <is>
          <t>Team Photo - USA</t>
        </is>
      </c>
      <c r="G263" t="inlineStr">
        <is>
          <t>Base</t>
        </is>
      </c>
      <c r="I263" t="n">
        <v>0</v>
      </c>
    </row>
    <row r="264">
      <c r="A264">
        <f>CHOOSE(MATCH(Config!$B$2,{"PT";"EN"},0),"Seleção","Team")</f>
        <v/>
      </c>
      <c r="B264" t="inlineStr">
        <is>
          <t>Grupo D</t>
        </is>
      </c>
      <c r="C264" t="inlineStr">
        <is>
          <t>USA</t>
        </is>
      </c>
      <c r="D264" t="inlineStr">
        <is>
          <t>USA</t>
        </is>
      </c>
      <c r="E264" t="inlineStr">
        <is>
          <t>USA14</t>
        </is>
      </c>
      <c r="F264" t="inlineStr">
        <is>
          <t>Diego Luna - USA</t>
        </is>
      </c>
      <c r="G264" t="inlineStr">
        <is>
          <t>Base</t>
        </is>
      </c>
      <c r="I264" t="n">
        <v>0</v>
      </c>
    </row>
    <row r="265">
      <c r="A265">
        <f>CHOOSE(MATCH(Config!$B$2,{"PT";"EN"},0),"Seleção","Team")</f>
        <v/>
      </c>
      <c r="B265" t="inlineStr">
        <is>
          <t>Grupo D</t>
        </is>
      </c>
      <c r="C265" t="inlineStr">
        <is>
          <t>USA</t>
        </is>
      </c>
      <c r="D265" t="inlineStr">
        <is>
          <t>USA</t>
        </is>
      </c>
      <c r="E265" t="inlineStr">
        <is>
          <t>USA15</t>
        </is>
      </c>
      <c r="F265" t="inlineStr">
        <is>
          <t>Malik Tillman - USA</t>
        </is>
      </c>
      <c r="G265" t="inlineStr">
        <is>
          <t>Base</t>
        </is>
      </c>
      <c r="I265" t="n">
        <v>0</v>
      </c>
    </row>
    <row r="266">
      <c r="A266">
        <f>CHOOSE(MATCH(Config!$B$2,{"PT";"EN"},0),"Seleção","Team")</f>
        <v/>
      </c>
      <c r="B266" t="inlineStr">
        <is>
          <t>Grupo D</t>
        </is>
      </c>
      <c r="C266" t="inlineStr">
        <is>
          <t>USA</t>
        </is>
      </c>
      <c r="D266" t="inlineStr">
        <is>
          <t>USA</t>
        </is>
      </c>
      <c r="E266" t="inlineStr">
        <is>
          <t>USA16</t>
        </is>
      </c>
      <c r="F266" t="inlineStr">
        <is>
          <t>Christian Pulisic - USA</t>
        </is>
      </c>
      <c r="G266" t="inlineStr">
        <is>
          <t>Base</t>
        </is>
      </c>
      <c r="I266" t="n">
        <v>0</v>
      </c>
    </row>
    <row r="267">
      <c r="A267">
        <f>CHOOSE(MATCH(Config!$B$2,{"PT";"EN"},0),"Seleção","Team")</f>
        <v/>
      </c>
      <c r="B267" t="inlineStr">
        <is>
          <t>Grupo D</t>
        </is>
      </c>
      <c r="C267" t="inlineStr">
        <is>
          <t>USA</t>
        </is>
      </c>
      <c r="D267" t="inlineStr">
        <is>
          <t>USA</t>
        </is>
      </c>
      <c r="E267" t="inlineStr">
        <is>
          <t>USA17</t>
        </is>
      </c>
      <c r="F267" t="inlineStr">
        <is>
          <t>Brenden Aaronson - USA</t>
        </is>
      </c>
      <c r="G267" t="inlineStr">
        <is>
          <t>Base</t>
        </is>
      </c>
      <c r="I267" t="n">
        <v>0</v>
      </c>
    </row>
    <row r="268">
      <c r="A268">
        <f>CHOOSE(MATCH(Config!$B$2,{"PT";"EN"},0),"Seleção","Team")</f>
        <v/>
      </c>
      <c r="B268" t="inlineStr">
        <is>
          <t>Grupo D</t>
        </is>
      </c>
      <c r="C268" t="inlineStr">
        <is>
          <t>USA</t>
        </is>
      </c>
      <c r="D268" t="inlineStr">
        <is>
          <t>USA</t>
        </is>
      </c>
      <c r="E268" t="inlineStr">
        <is>
          <t>USA18</t>
        </is>
      </c>
      <c r="F268" t="inlineStr">
        <is>
          <t>Ricardo Pepi - USA</t>
        </is>
      </c>
      <c r="G268" t="inlineStr">
        <is>
          <t>Base</t>
        </is>
      </c>
      <c r="I268" t="n">
        <v>0</v>
      </c>
    </row>
    <row r="269">
      <c r="A269">
        <f>CHOOSE(MATCH(Config!$B$2,{"PT";"EN"},0),"Seleção","Team")</f>
        <v/>
      </c>
      <c r="B269" t="inlineStr">
        <is>
          <t>Grupo D</t>
        </is>
      </c>
      <c r="C269" t="inlineStr">
        <is>
          <t>USA</t>
        </is>
      </c>
      <c r="D269" t="inlineStr">
        <is>
          <t>USA</t>
        </is>
      </c>
      <c r="E269" t="inlineStr">
        <is>
          <t>USA19</t>
        </is>
      </c>
      <c r="F269" t="inlineStr">
        <is>
          <t>Haji Wright - USA</t>
        </is>
      </c>
      <c r="G269" t="inlineStr">
        <is>
          <t>Base</t>
        </is>
      </c>
      <c r="I269" t="n">
        <v>0</v>
      </c>
    </row>
    <row r="270">
      <c r="A270">
        <f>CHOOSE(MATCH(Config!$B$2,{"PT";"EN"},0),"Seleção","Team")</f>
        <v/>
      </c>
      <c r="B270" t="inlineStr">
        <is>
          <t>Grupo D</t>
        </is>
      </c>
      <c r="C270" t="inlineStr">
        <is>
          <t>USA</t>
        </is>
      </c>
      <c r="D270" t="inlineStr">
        <is>
          <t>USA</t>
        </is>
      </c>
      <c r="E270" t="inlineStr">
        <is>
          <t>USA20</t>
        </is>
      </c>
      <c r="F270" t="inlineStr">
        <is>
          <t>Folarin Balogun - USA</t>
        </is>
      </c>
      <c r="G270" t="inlineStr">
        <is>
          <t>Base</t>
        </is>
      </c>
      <c r="I270" t="n">
        <v>0</v>
      </c>
    </row>
    <row r="271">
      <c r="A271">
        <f>CHOOSE(MATCH(Config!$B$2,{"PT";"EN"},0),"Seleção","Team")</f>
        <v/>
      </c>
      <c r="B271" t="inlineStr">
        <is>
          <t>Grupo D</t>
        </is>
      </c>
      <c r="C271" t="inlineStr">
        <is>
          <t>PAR</t>
        </is>
      </c>
      <c r="D271" t="inlineStr">
        <is>
          <t>Paraguay</t>
        </is>
      </c>
      <c r="E271" t="inlineStr">
        <is>
          <t>PAR1</t>
        </is>
      </c>
      <c r="F271" t="inlineStr">
        <is>
          <t>Team Logo - Paraguay FOIL</t>
        </is>
      </c>
      <c r="G271" t="inlineStr">
        <is>
          <t>FOIL</t>
        </is>
      </c>
      <c r="I271" t="n">
        <v>0</v>
      </c>
    </row>
    <row r="272">
      <c r="A272">
        <f>CHOOSE(MATCH(Config!$B$2,{"PT";"EN"},0),"Seleção","Team")</f>
        <v/>
      </c>
      <c r="B272" t="inlineStr">
        <is>
          <t>Grupo D</t>
        </is>
      </c>
      <c r="C272" t="inlineStr">
        <is>
          <t>PAR</t>
        </is>
      </c>
      <c r="D272" t="inlineStr">
        <is>
          <t>Paraguay</t>
        </is>
      </c>
      <c r="E272" t="inlineStr">
        <is>
          <t>PAR2</t>
        </is>
      </c>
      <c r="F272" t="inlineStr">
        <is>
          <t>Roberto Fernandez - Paraguay</t>
        </is>
      </c>
      <c r="G272" t="inlineStr">
        <is>
          <t>Base</t>
        </is>
      </c>
      <c r="I272" t="n">
        <v>0</v>
      </c>
    </row>
    <row r="273">
      <c r="A273">
        <f>CHOOSE(MATCH(Config!$B$2,{"PT";"EN"},0),"Seleção","Team")</f>
        <v/>
      </c>
      <c r="B273" t="inlineStr">
        <is>
          <t>Grupo D</t>
        </is>
      </c>
      <c r="C273" t="inlineStr">
        <is>
          <t>PAR</t>
        </is>
      </c>
      <c r="D273" t="inlineStr">
        <is>
          <t>Paraguay</t>
        </is>
      </c>
      <c r="E273" t="inlineStr">
        <is>
          <t>PAR3</t>
        </is>
      </c>
      <c r="F273" t="inlineStr">
        <is>
          <t>Orlando Gill - Paraguay</t>
        </is>
      </c>
      <c r="G273" t="inlineStr">
        <is>
          <t>Base</t>
        </is>
      </c>
      <c r="I273" t="n">
        <v>0</v>
      </c>
    </row>
    <row r="274">
      <c r="A274">
        <f>CHOOSE(MATCH(Config!$B$2,{"PT";"EN"},0),"Seleção","Team")</f>
        <v/>
      </c>
      <c r="B274" t="inlineStr">
        <is>
          <t>Grupo D</t>
        </is>
      </c>
      <c r="C274" t="inlineStr">
        <is>
          <t>PAR</t>
        </is>
      </c>
      <c r="D274" t="inlineStr">
        <is>
          <t>Paraguay</t>
        </is>
      </c>
      <c r="E274" t="inlineStr">
        <is>
          <t>PAR4</t>
        </is>
      </c>
      <c r="F274" t="inlineStr">
        <is>
          <t>Gustavo Gomez - Paraguay</t>
        </is>
      </c>
      <c r="G274" t="inlineStr">
        <is>
          <t>Base</t>
        </is>
      </c>
      <c r="I274" t="n">
        <v>0</v>
      </c>
    </row>
    <row r="275">
      <c r="A275">
        <f>CHOOSE(MATCH(Config!$B$2,{"PT";"EN"},0),"Seleção","Team")</f>
        <v/>
      </c>
      <c r="B275" t="inlineStr">
        <is>
          <t>Grupo D</t>
        </is>
      </c>
      <c r="C275" t="inlineStr">
        <is>
          <t>PAR</t>
        </is>
      </c>
      <c r="D275" t="inlineStr">
        <is>
          <t>Paraguay</t>
        </is>
      </c>
      <c r="E275" t="inlineStr">
        <is>
          <t>PAR5</t>
        </is>
      </c>
      <c r="F275" t="inlineStr">
        <is>
          <t>Fabián Balbuena - Paraguay</t>
        </is>
      </c>
      <c r="G275" t="inlineStr">
        <is>
          <t>Base</t>
        </is>
      </c>
      <c r="I275" t="n">
        <v>0</v>
      </c>
    </row>
    <row r="276">
      <c r="A276">
        <f>CHOOSE(MATCH(Config!$B$2,{"PT";"EN"},0),"Seleção","Team")</f>
        <v/>
      </c>
      <c r="B276" t="inlineStr">
        <is>
          <t>Grupo D</t>
        </is>
      </c>
      <c r="C276" t="inlineStr">
        <is>
          <t>PAR</t>
        </is>
      </c>
      <c r="D276" t="inlineStr">
        <is>
          <t>Paraguay</t>
        </is>
      </c>
      <c r="E276" t="inlineStr">
        <is>
          <t>PAR6</t>
        </is>
      </c>
      <c r="F276" t="inlineStr">
        <is>
          <t>Juan José Cáceres - Paraguay</t>
        </is>
      </c>
      <c r="G276" t="inlineStr">
        <is>
          <t>Base</t>
        </is>
      </c>
      <c r="I276" t="n">
        <v>0</v>
      </c>
    </row>
    <row r="277">
      <c r="A277">
        <f>CHOOSE(MATCH(Config!$B$2,{"PT";"EN"},0),"Seleção","Team")</f>
        <v/>
      </c>
      <c r="B277" t="inlineStr">
        <is>
          <t>Grupo D</t>
        </is>
      </c>
      <c r="C277" t="inlineStr">
        <is>
          <t>PAR</t>
        </is>
      </c>
      <c r="D277" t="inlineStr">
        <is>
          <t>Paraguay</t>
        </is>
      </c>
      <c r="E277" t="inlineStr">
        <is>
          <t>PAR7</t>
        </is>
      </c>
      <c r="F277" t="inlineStr">
        <is>
          <t>Omar Alderete - Paraguay</t>
        </is>
      </c>
      <c r="G277" t="inlineStr">
        <is>
          <t>Base</t>
        </is>
      </c>
      <c r="I277" t="n">
        <v>0</v>
      </c>
    </row>
    <row r="278">
      <c r="A278">
        <f>CHOOSE(MATCH(Config!$B$2,{"PT";"EN"},0),"Seleção","Team")</f>
        <v/>
      </c>
      <c r="B278" t="inlineStr">
        <is>
          <t>Grupo D</t>
        </is>
      </c>
      <c r="C278" t="inlineStr">
        <is>
          <t>PAR</t>
        </is>
      </c>
      <c r="D278" t="inlineStr">
        <is>
          <t>Paraguay</t>
        </is>
      </c>
      <c r="E278" t="inlineStr">
        <is>
          <t>PAR8</t>
        </is>
      </c>
      <c r="F278" t="inlineStr">
        <is>
          <t>Junior Alonso - Paraguay</t>
        </is>
      </c>
      <c r="G278" t="inlineStr">
        <is>
          <t>Base</t>
        </is>
      </c>
      <c r="I278" t="n">
        <v>0</v>
      </c>
    </row>
    <row r="279">
      <c r="A279">
        <f>CHOOSE(MATCH(Config!$B$2,{"PT";"EN"},0),"Seleção","Team")</f>
        <v/>
      </c>
      <c r="B279" t="inlineStr">
        <is>
          <t>Grupo D</t>
        </is>
      </c>
      <c r="C279" t="inlineStr">
        <is>
          <t>PAR</t>
        </is>
      </c>
      <c r="D279" t="inlineStr">
        <is>
          <t>Paraguay</t>
        </is>
      </c>
      <c r="E279" t="inlineStr">
        <is>
          <t>PAR9</t>
        </is>
      </c>
      <c r="F279" t="inlineStr">
        <is>
          <t>Mathías Villasanti - Paraguay</t>
        </is>
      </c>
      <c r="G279" t="inlineStr">
        <is>
          <t>Base</t>
        </is>
      </c>
      <c r="I279" t="n">
        <v>0</v>
      </c>
    </row>
    <row r="280">
      <c r="A280">
        <f>CHOOSE(MATCH(Config!$B$2,{"PT";"EN"},0),"Seleção","Team")</f>
        <v/>
      </c>
      <c r="B280" t="inlineStr">
        <is>
          <t>Grupo D</t>
        </is>
      </c>
      <c r="C280" t="inlineStr">
        <is>
          <t>PAR</t>
        </is>
      </c>
      <c r="D280" t="inlineStr">
        <is>
          <t>Paraguay</t>
        </is>
      </c>
      <c r="E280" t="inlineStr">
        <is>
          <t>PAR10</t>
        </is>
      </c>
      <c r="F280" t="inlineStr">
        <is>
          <t>Diego Gomez - Paraguay</t>
        </is>
      </c>
      <c r="G280" t="inlineStr">
        <is>
          <t>Base</t>
        </is>
      </c>
      <c r="I280" t="n">
        <v>0</v>
      </c>
    </row>
    <row r="281">
      <c r="A281">
        <f>CHOOSE(MATCH(Config!$B$2,{"PT";"EN"},0),"Seleção","Team")</f>
        <v/>
      </c>
      <c r="B281" t="inlineStr">
        <is>
          <t>Grupo D</t>
        </is>
      </c>
      <c r="C281" t="inlineStr">
        <is>
          <t>PAR</t>
        </is>
      </c>
      <c r="D281" t="inlineStr">
        <is>
          <t>Paraguay</t>
        </is>
      </c>
      <c r="E281" t="inlineStr">
        <is>
          <t>PAR11</t>
        </is>
      </c>
      <c r="F281" t="inlineStr">
        <is>
          <t>Damián Bobadilla - Paraguay</t>
        </is>
      </c>
      <c r="G281" t="inlineStr">
        <is>
          <t>Base</t>
        </is>
      </c>
      <c r="I281" t="n">
        <v>0</v>
      </c>
    </row>
    <row r="282">
      <c r="A282">
        <f>CHOOSE(MATCH(Config!$B$2,{"PT";"EN"},0),"Seleção","Team")</f>
        <v/>
      </c>
      <c r="B282" t="inlineStr">
        <is>
          <t>Grupo D</t>
        </is>
      </c>
      <c r="C282" t="inlineStr">
        <is>
          <t>PAR</t>
        </is>
      </c>
      <c r="D282" t="inlineStr">
        <is>
          <t>Paraguay</t>
        </is>
      </c>
      <c r="E282" t="inlineStr">
        <is>
          <t>PAR12</t>
        </is>
      </c>
      <c r="F282" t="inlineStr">
        <is>
          <t>Andres Cubas - Paraguay</t>
        </is>
      </c>
      <c r="G282" t="inlineStr">
        <is>
          <t>Base</t>
        </is>
      </c>
      <c r="I282" t="n">
        <v>0</v>
      </c>
    </row>
    <row r="283">
      <c r="A283">
        <f>CHOOSE(MATCH(Config!$B$2,{"PT";"EN"},0),"Seleção","Team")</f>
        <v/>
      </c>
      <c r="B283" t="inlineStr">
        <is>
          <t>Grupo D</t>
        </is>
      </c>
      <c r="C283" t="inlineStr">
        <is>
          <t>PAR</t>
        </is>
      </c>
      <c r="D283" t="inlineStr">
        <is>
          <t>Paraguay</t>
        </is>
      </c>
      <c r="E283" t="inlineStr">
        <is>
          <t>PAR13</t>
        </is>
      </c>
      <c r="F283" t="inlineStr">
        <is>
          <t>Team Photo - Paraguay</t>
        </is>
      </c>
      <c r="G283" t="inlineStr">
        <is>
          <t>Base</t>
        </is>
      </c>
      <c r="I283" t="n">
        <v>0</v>
      </c>
    </row>
    <row r="284">
      <c r="A284">
        <f>CHOOSE(MATCH(Config!$B$2,{"PT";"EN"},0),"Seleção","Team")</f>
        <v/>
      </c>
      <c r="B284" t="inlineStr">
        <is>
          <t>Grupo D</t>
        </is>
      </c>
      <c r="C284" t="inlineStr">
        <is>
          <t>PAR</t>
        </is>
      </c>
      <c r="D284" t="inlineStr">
        <is>
          <t>Paraguay</t>
        </is>
      </c>
      <c r="E284" t="inlineStr">
        <is>
          <t>PAR14</t>
        </is>
      </c>
      <c r="F284" t="inlineStr">
        <is>
          <t>Matias Galarza Fonda - Paraguay</t>
        </is>
      </c>
      <c r="G284" t="inlineStr">
        <is>
          <t>Base</t>
        </is>
      </c>
      <c r="I284" t="n">
        <v>0</v>
      </c>
    </row>
    <row r="285">
      <c r="A285">
        <f>CHOOSE(MATCH(Config!$B$2,{"PT";"EN"},0),"Seleção","Team")</f>
        <v/>
      </c>
      <c r="B285" t="inlineStr">
        <is>
          <t>Grupo D</t>
        </is>
      </c>
      <c r="C285" t="inlineStr">
        <is>
          <t>PAR</t>
        </is>
      </c>
      <c r="D285" t="inlineStr">
        <is>
          <t>Paraguay</t>
        </is>
      </c>
      <c r="E285" t="inlineStr">
        <is>
          <t>PAR15</t>
        </is>
      </c>
      <c r="F285" t="inlineStr">
        <is>
          <t>Julio Enciso - Paraguay</t>
        </is>
      </c>
      <c r="G285" t="inlineStr">
        <is>
          <t>Base</t>
        </is>
      </c>
      <c r="I285" t="n">
        <v>0</v>
      </c>
    </row>
    <row r="286">
      <c r="A286">
        <f>CHOOSE(MATCH(Config!$B$2,{"PT";"EN"},0),"Seleção","Team")</f>
        <v/>
      </c>
      <c r="B286" t="inlineStr">
        <is>
          <t>Grupo D</t>
        </is>
      </c>
      <c r="C286" t="inlineStr">
        <is>
          <t>PAR</t>
        </is>
      </c>
      <c r="D286" t="inlineStr">
        <is>
          <t>Paraguay</t>
        </is>
      </c>
      <c r="E286" t="inlineStr">
        <is>
          <t>PAR16</t>
        </is>
      </c>
      <c r="F286" t="inlineStr">
        <is>
          <t>Alejandro Romero Gamarra - Paraguay</t>
        </is>
      </c>
      <c r="G286" t="inlineStr">
        <is>
          <t>Base</t>
        </is>
      </c>
      <c r="I286" t="n">
        <v>0</v>
      </c>
    </row>
    <row r="287">
      <c r="A287">
        <f>CHOOSE(MATCH(Config!$B$2,{"PT";"EN"},0),"Seleção","Team")</f>
        <v/>
      </c>
      <c r="B287" t="inlineStr">
        <is>
          <t>Grupo D</t>
        </is>
      </c>
      <c r="C287" t="inlineStr">
        <is>
          <t>PAR</t>
        </is>
      </c>
      <c r="D287" t="inlineStr">
        <is>
          <t>Paraguay</t>
        </is>
      </c>
      <c r="E287" t="inlineStr">
        <is>
          <t>PAR17</t>
        </is>
      </c>
      <c r="F287" t="inlineStr">
        <is>
          <t>Miguel Almirón - Paraguay</t>
        </is>
      </c>
      <c r="G287" t="inlineStr">
        <is>
          <t>Base</t>
        </is>
      </c>
      <c r="I287" t="n">
        <v>0</v>
      </c>
    </row>
    <row r="288">
      <c r="A288">
        <f>CHOOSE(MATCH(Config!$B$2,{"PT";"EN"},0),"Seleção","Team")</f>
        <v/>
      </c>
      <c r="B288" t="inlineStr">
        <is>
          <t>Grupo D</t>
        </is>
      </c>
      <c r="C288" t="inlineStr">
        <is>
          <t>PAR</t>
        </is>
      </c>
      <c r="D288" t="inlineStr">
        <is>
          <t>Paraguay</t>
        </is>
      </c>
      <c r="E288" t="inlineStr">
        <is>
          <t>PAR18</t>
        </is>
      </c>
      <c r="F288" t="inlineStr">
        <is>
          <t>Ramon Sosa - Paraguay</t>
        </is>
      </c>
      <c r="G288" t="inlineStr">
        <is>
          <t>Base</t>
        </is>
      </c>
      <c r="I288" t="n">
        <v>0</v>
      </c>
    </row>
    <row r="289">
      <c r="A289">
        <f>CHOOSE(MATCH(Config!$B$2,{"PT";"EN"},0),"Seleção","Team")</f>
        <v/>
      </c>
      <c r="B289" t="inlineStr">
        <is>
          <t>Grupo D</t>
        </is>
      </c>
      <c r="C289" t="inlineStr">
        <is>
          <t>PAR</t>
        </is>
      </c>
      <c r="D289" t="inlineStr">
        <is>
          <t>Paraguay</t>
        </is>
      </c>
      <c r="E289" t="inlineStr">
        <is>
          <t>PAR19</t>
        </is>
      </c>
      <c r="F289" t="inlineStr">
        <is>
          <t>Angel Romero - Paraguay</t>
        </is>
      </c>
      <c r="G289" t="inlineStr">
        <is>
          <t>Base</t>
        </is>
      </c>
      <c r="I289" t="n">
        <v>0</v>
      </c>
    </row>
    <row r="290">
      <c r="A290">
        <f>CHOOSE(MATCH(Config!$B$2,{"PT";"EN"},0),"Seleção","Team")</f>
        <v/>
      </c>
      <c r="B290" t="inlineStr">
        <is>
          <t>Grupo D</t>
        </is>
      </c>
      <c r="C290" t="inlineStr">
        <is>
          <t>PAR</t>
        </is>
      </c>
      <c r="D290" t="inlineStr">
        <is>
          <t>Paraguay</t>
        </is>
      </c>
      <c r="E290" t="inlineStr">
        <is>
          <t>PAR20</t>
        </is>
      </c>
      <c r="F290" t="inlineStr">
        <is>
          <t>Antonio Sanabria - Paraguay</t>
        </is>
      </c>
      <c r="G290" t="inlineStr">
        <is>
          <t>Base</t>
        </is>
      </c>
      <c r="I290" t="n">
        <v>0</v>
      </c>
    </row>
    <row r="291">
      <c r="A291">
        <f>CHOOSE(MATCH(Config!$B$2,{"PT";"EN"},0),"Seleção","Team")</f>
        <v/>
      </c>
      <c r="B291" t="inlineStr">
        <is>
          <t>Grupo D</t>
        </is>
      </c>
      <c r="C291" t="inlineStr">
        <is>
          <t>AUS</t>
        </is>
      </c>
      <c r="D291" t="inlineStr">
        <is>
          <t>Australia</t>
        </is>
      </c>
      <c r="E291" t="inlineStr">
        <is>
          <t>AUS1</t>
        </is>
      </c>
      <c r="F291" t="inlineStr">
        <is>
          <t>Team Logo - Australia FOIL</t>
        </is>
      </c>
      <c r="G291" t="inlineStr">
        <is>
          <t>FOIL</t>
        </is>
      </c>
      <c r="I291" t="n">
        <v>0</v>
      </c>
    </row>
    <row r="292">
      <c r="A292">
        <f>CHOOSE(MATCH(Config!$B$2,{"PT";"EN"},0),"Seleção","Team")</f>
        <v/>
      </c>
      <c r="B292" t="inlineStr">
        <is>
          <t>Grupo D</t>
        </is>
      </c>
      <c r="C292" t="inlineStr">
        <is>
          <t>AUS</t>
        </is>
      </c>
      <c r="D292" t="inlineStr">
        <is>
          <t>Australia</t>
        </is>
      </c>
      <c r="E292" t="inlineStr">
        <is>
          <t>AUS2</t>
        </is>
      </c>
      <c r="F292" t="inlineStr">
        <is>
          <t>Mathew Ryan - Australia</t>
        </is>
      </c>
      <c r="G292" t="inlineStr">
        <is>
          <t>Base</t>
        </is>
      </c>
      <c r="I292" t="n">
        <v>0</v>
      </c>
    </row>
    <row r="293">
      <c r="A293">
        <f>CHOOSE(MATCH(Config!$B$2,{"PT";"EN"},0),"Seleção","Team")</f>
        <v/>
      </c>
      <c r="B293" t="inlineStr">
        <is>
          <t>Grupo D</t>
        </is>
      </c>
      <c r="C293" t="inlineStr">
        <is>
          <t>AUS</t>
        </is>
      </c>
      <c r="D293" t="inlineStr">
        <is>
          <t>Australia</t>
        </is>
      </c>
      <c r="E293" t="inlineStr">
        <is>
          <t>AUS3</t>
        </is>
      </c>
      <c r="F293" t="inlineStr">
        <is>
          <t>Joe Gauci - Australia</t>
        </is>
      </c>
      <c r="G293" t="inlineStr">
        <is>
          <t>Base</t>
        </is>
      </c>
      <c r="I293" t="n">
        <v>0</v>
      </c>
    </row>
    <row r="294">
      <c r="A294">
        <f>CHOOSE(MATCH(Config!$B$2,{"PT";"EN"},0),"Seleção","Team")</f>
        <v/>
      </c>
      <c r="B294" t="inlineStr">
        <is>
          <t>Grupo D</t>
        </is>
      </c>
      <c r="C294" t="inlineStr">
        <is>
          <t>AUS</t>
        </is>
      </c>
      <c r="D294" t="inlineStr">
        <is>
          <t>Australia</t>
        </is>
      </c>
      <c r="E294" t="inlineStr">
        <is>
          <t>AUS4</t>
        </is>
      </c>
      <c r="F294" t="inlineStr">
        <is>
          <t>Harry Souttar - Australia</t>
        </is>
      </c>
      <c r="G294" t="inlineStr">
        <is>
          <t>Base</t>
        </is>
      </c>
      <c r="I294" t="n">
        <v>0</v>
      </c>
    </row>
    <row r="295">
      <c r="A295">
        <f>CHOOSE(MATCH(Config!$B$2,{"PT";"EN"},0),"Seleção","Team")</f>
        <v/>
      </c>
      <c r="B295" t="inlineStr">
        <is>
          <t>Grupo D</t>
        </is>
      </c>
      <c r="C295" t="inlineStr">
        <is>
          <t>AUS</t>
        </is>
      </c>
      <c r="D295" t="inlineStr">
        <is>
          <t>Australia</t>
        </is>
      </c>
      <c r="E295" t="inlineStr">
        <is>
          <t>AUS5</t>
        </is>
      </c>
      <c r="F295" t="inlineStr">
        <is>
          <t>Alessandro Circati - Australia</t>
        </is>
      </c>
      <c r="G295" t="inlineStr">
        <is>
          <t>Base</t>
        </is>
      </c>
      <c r="I295" t="n">
        <v>0</v>
      </c>
    </row>
    <row r="296">
      <c r="A296">
        <f>CHOOSE(MATCH(Config!$B$2,{"PT";"EN"},0),"Seleção","Team")</f>
        <v/>
      </c>
      <c r="B296" t="inlineStr">
        <is>
          <t>Grupo D</t>
        </is>
      </c>
      <c r="C296" t="inlineStr">
        <is>
          <t>AUS</t>
        </is>
      </c>
      <c r="D296" t="inlineStr">
        <is>
          <t>Australia</t>
        </is>
      </c>
      <c r="E296" t="inlineStr">
        <is>
          <t>AUS6</t>
        </is>
      </c>
      <c r="F296" t="inlineStr">
        <is>
          <t>Jordan Bos - Australia</t>
        </is>
      </c>
      <c r="G296" t="inlineStr">
        <is>
          <t>Base</t>
        </is>
      </c>
      <c r="I296" t="n">
        <v>0</v>
      </c>
    </row>
    <row r="297">
      <c r="A297">
        <f>CHOOSE(MATCH(Config!$B$2,{"PT";"EN"},0),"Seleção","Team")</f>
        <v/>
      </c>
      <c r="B297" t="inlineStr">
        <is>
          <t>Grupo D</t>
        </is>
      </c>
      <c r="C297" t="inlineStr">
        <is>
          <t>AUS</t>
        </is>
      </c>
      <c r="D297" t="inlineStr">
        <is>
          <t>Australia</t>
        </is>
      </c>
      <c r="E297" t="inlineStr">
        <is>
          <t>AUS7</t>
        </is>
      </c>
      <c r="F297" t="inlineStr">
        <is>
          <t>Aziz Behich - Australia</t>
        </is>
      </c>
      <c r="G297" t="inlineStr">
        <is>
          <t>Base</t>
        </is>
      </c>
      <c r="I297" t="n">
        <v>0</v>
      </c>
    </row>
    <row r="298">
      <c r="A298">
        <f>CHOOSE(MATCH(Config!$B$2,{"PT";"EN"},0),"Seleção","Team")</f>
        <v/>
      </c>
      <c r="B298" t="inlineStr">
        <is>
          <t>Grupo D</t>
        </is>
      </c>
      <c r="C298" t="inlineStr">
        <is>
          <t>AUS</t>
        </is>
      </c>
      <c r="D298" t="inlineStr">
        <is>
          <t>Australia</t>
        </is>
      </c>
      <c r="E298" t="inlineStr">
        <is>
          <t>AUS8</t>
        </is>
      </c>
      <c r="F298" t="inlineStr">
        <is>
          <t>Cameron Burgess - Australia</t>
        </is>
      </c>
      <c r="G298" t="inlineStr">
        <is>
          <t>Base</t>
        </is>
      </c>
      <c r="I298" t="n">
        <v>0</v>
      </c>
    </row>
    <row r="299">
      <c r="A299">
        <f>CHOOSE(MATCH(Config!$B$2,{"PT";"EN"},0),"Seleção","Team")</f>
        <v/>
      </c>
      <c r="B299" t="inlineStr">
        <is>
          <t>Grupo D</t>
        </is>
      </c>
      <c r="C299" t="inlineStr">
        <is>
          <t>AUS</t>
        </is>
      </c>
      <c r="D299" t="inlineStr">
        <is>
          <t>Australia</t>
        </is>
      </c>
      <c r="E299" t="inlineStr">
        <is>
          <t>AUS9</t>
        </is>
      </c>
      <c r="F299" t="inlineStr">
        <is>
          <t>Lewis Miller - Australia</t>
        </is>
      </c>
      <c r="G299" t="inlineStr">
        <is>
          <t>Base</t>
        </is>
      </c>
      <c r="I299" t="n">
        <v>0</v>
      </c>
    </row>
    <row r="300">
      <c r="A300">
        <f>CHOOSE(MATCH(Config!$B$2,{"PT";"EN"},0),"Seleção","Team")</f>
        <v/>
      </c>
      <c r="B300" t="inlineStr">
        <is>
          <t>Grupo D</t>
        </is>
      </c>
      <c r="C300" t="inlineStr">
        <is>
          <t>AUS</t>
        </is>
      </c>
      <c r="D300" t="inlineStr">
        <is>
          <t>Australia</t>
        </is>
      </c>
      <c r="E300" t="inlineStr">
        <is>
          <t>AUS10</t>
        </is>
      </c>
      <c r="F300" t="inlineStr">
        <is>
          <t>Milos Degenek - Australia</t>
        </is>
      </c>
      <c r="G300" t="inlineStr">
        <is>
          <t>Base</t>
        </is>
      </c>
      <c r="I300" t="n">
        <v>0</v>
      </c>
    </row>
    <row r="301">
      <c r="A301">
        <f>CHOOSE(MATCH(Config!$B$2,{"PT";"EN"},0),"Seleção","Team")</f>
        <v/>
      </c>
      <c r="B301" t="inlineStr">
        <is>
          <t>Grupo D</t>
        </is>
      </c>
      <c r="C301" t="inlineStr">
        <is>
          <t>AUS</t>
        </is>
      </c>
      <c r="D301" t="inlineStr">
        <is>
          <t>Australia</t>
        </is>
      </c>
      <c r="E301" t="inlineStr">
        <is>
          <t>AUS11</t>
        </is>
      </c>
      <c r="F301" t="inlineStr">
        <is>
          <t>Jackson Irvine - Australia</t>
        </is>
      </c>
      <c r="G301" t="inlineStr">
        <is>
          <t>Base</t>
        </is>
      </c>
      <c r="I301" t="n">
        <v>0</v>
      </c>
    </row>
    <row r="302">
      <c r="A302">
        <f>CHOOSE(MATCH(Config!$B$2,{"PT";"EN"},0),"Seleção","Team")</f>
        <v/>
      </c>
      <c r="B302" t="inlineStr">
        <is>
          <t>Grupo D</t>
        </is>
      </c>
      <c r="C302" t="inlineStr">
        <is>
          <t>AUS</t>
        </is>
      </c>
      <c r="D302" t="inlineStr">
        <is>
          <t>Australia</t>
        </is>
      </c>
      <c r="E302" t="inlineStr">
        <is>
          <t>AUS12</t>
        </is>
      </c>
      <c r="F302" t="inlineStr">
        <is>
          <t>Riley McGree - Australia</t>
        </is>
      </c>
      <c r="G302" t="inlineStr">
        <is>
          <t>Base</t>
        </is>
      </c>
      <c r="I302" t="n">
        <v>0</v>
      </c>
    </row>
    <row r="303">
      <c r="A303">
        <f>CHOOSE(MATCH(Config!$B$2,{"PT";"EN"},0),"Seleção","Team")</f>
        <v/>
      </c>
      <c r="B303" t="inlineStr">
        <is>
          <t>Grupo D</t>
        </is>
      </c>
      <c r="C303" t="inlineStr">
        <is>
          <t>AUS</t>
        </is>
      </c>
      <c r="D303" t="inlineStr">
        <is>
          <t>Australia</t>
        </is>
      </c>
      <c r="E303" t="inlineStr">
        <is>
          <t>AUS13</t>
        </is>
      </c>
      <c r="F303" t="inlineStr">
        <is>
          <t>Team Photo - Australia</t>
        </is>
      </c>
      <c r="G303" t="inlineStr">
        <is>
          <t>Base</t>
        </is>
      </c>
      <c r="I303" t="n">
        <v>0</v>
      </c>
    </row>
    <row r="304">
      <c r="A304">
        <f>CHOOSE(MATCH(Config!$B$2,{"PT";"EN"},0),"Seleção","Team")</f>
        <v/>
      </c>
      <c r="B304" t="inlineStr">
        <is>
          <t>Grupo D</t>
        </is>
      </c>
      <c r="C304" t="inlineStr">
        <is>
          <t>AUS</t>
        </is>
      </c>
      <c r="D304" t="inlineStr">
        <is>
          <t>Australia</t>
        </is>
      </c>
      <c r="E304" t="inlineStr">
        <is>
          <t>AUS14</t>
        </is>
      </c>
      <c r="F304" t="inlineStr">
        <is>
          <t>Aiden O'Neill - Australia</t>
        </is>
      </c>
      <c r="G304" t="inlineStr">
        <is>
          <t>Base</t>
        </is>
      </c>
      <c r="I304" t="n">
        <v>0</v>
      </c>
    </row>
    <row r="305">
      <c r="A305">
        <f>CHOOSE(MATCH(Config!$B$2,{"PT";"EN"},0),"Seleção","Team")</f>
        <v/>
      </c>
      <c r="B305" t="inlineStr">
        <is>
          <t>Grupo D</t>
        </is>
      </c>
      <c r="C305" t="inlineStr">
        <is>
          <t>AUS</t>
        </is>
      </c>
      <c r="D305" t="inlineStr">
        <is>
          <t>Australia</t>
        </is>
      </c>
      <c r="E305" t="inlineStr">
        <is>
          <t>AUS15</t>
        </is>
      </c>
      <c r="F305" t="inlineStr">
        <is>
          <t>Connor Metcalfe - Australia</t>
        </is>
      </c>
      <c r="G305" t="inlineStr">
        <is>
          <t>Base</t>
        </is>
      </c>
      <c r="I305" t="n">
        <v>0</v>
      </c>
    </row>
    <row r="306">
      <c r="A306">
        <f>CHOOSE(MATCH(Config!$B$2,{"PT";"EN"},0),"Seleção","Team")</f>
        <v/>
      </c>
      <c r="B306" t="inlineStr">
        <is>
          <t>Grupo D</t>
        </is>
      </c>
      <c r="C306" t="inlineStr">
        <is>
          <t>AUS</t>
        </is>
      </c>
      <c r="D306" t="inlineStr">
        <is>
          <t>Australia</t>
        </is>
      </c>
      <c r="E306" t="inlineStr">
        <is>
          <t>AUS16</t>
        </is>
      </c>
      <c r="F306" t="inlineStr">
        <is>
          <t>Patrick Yazbek - Australia</t>
        </is>
      </c>
      <c r="G306" t="inlineStr">
        <is>
          <t>Base</t>
        </is>
      </c>
      <c r="I306" t="n">
        <v>0</v>
      </c>
    </row>
    <row r="307">
      <c r="A307">
        <f>CHOOSE(MATCH(Config!$B$2,{"PT";"EN"},0),"Seleção","Team")</f>
        <v/>
      </c>
      <c r="B307" t="inlineStr">
        <is>
          <t>Grupo D</t>
        </is>
      </c>
      <c r="C307" t="inlineStr">
        <is>
          <t>AUS</t>
        </is>
      </c>
      <c r="D307" t="inlineStr">
        <is>
          <t>Australia</t>
        </is>
      </c>
      <c r="E307" t="inlineStr">
        <is>
          <t>AUS17</t>
        </is>
      </c>
      <c r="F307" t="inlineStr">
        <is>
          <t>Craig Goodwin - Australia</t>
        </is>
      </c>
      <c r="G307" t="inlineStr">
        <is>
          <t>Base</t>
        </is>
      </c>
      <c r="I307" t="n">
        <v>0</v>
      </c>
    </row>
    <row r="308">
      <c r="A308">
        <f>CHOOSE(MATCH(Config!$B$2,{"PT";"EN"},0),"Seleção","Team")</f>
        <v/>
      </c>
      <c r="B308" t="inlineStr">
        <is>
          <t>Grupo D</t>
        </is>
      </c>
      <c r="C308" t="inlineStr">
        <is>
          <t>AUS</t>
        </is>
      </c>
      <c r="D308" t="inlineStr">
        <is>
          <t>Australia</t>
        </is>
      </c>
      <c r="E308" t="inlineStr">
        <is>
          <t>AUS18</t>
        </is>
      </c>
      <c r="F308" t="inlineStr">
        <is>
          <t>Kusini Vengi - Australia</t>
        </is>
      </c>
      <c r="G308" t="inlineStr">
        <is>
          <t>Base</t>
        </is>
      </c>
      <c r="I308" t="n">
        <v>0</v>
      </c>
    </row>
    <row r="309">
      <c r="A309">
        <f>CHOOSE(MATCH(Config!$B$2,{"PT";"EN"},0),"Seleção","Team")</f>
        <v/>
      </c>
      <c r="B309" t="inlineStr">
        <is>
          <t>Grupo D</t>
        </is>
      </c>
      <c r="C309" t="inlineStr">
        <is>
          <t>AUS</t>
        </is>
      </c>
      <c r="D309" t="inlineStr">
        <is>
          <t>Australia</t>
        </is>
      </c>
      <c r="E309" t="inlineStr">
        <is>
          <t>AUS19</t>
        </is>
      </c>
      <c r="F309" t="inlineStr">
        <is>
          <t>Nestory Irankunda - Australia</t>
        </is>
      </c>
      <c r="G309" t="inlineStr">
        <is>
          <t>Base</t>
        </is>
      </c>
      <c r="I309" t="n">
        <v>0</v>
      </c>
    </row>
    <row r="310">
      <c r="A310">
        <f>CHOOSE(MATCH(Config!$B$2,{"PT";"EN"},0),"Seleção","Team")</f>
        <v/>
      </c>
      <c r="B310" t="inlineStr">
        <is>
          <t>Grupo D</t>
        </is>
      </c>
      <c r="C310" t="inlineStr">
        <is>
          <t>AUS</t>
        </is>
      </c>
      <c r="D310" t="inlineStr">
        <is>
          <t>Australia</t>
        </is>
      </c>
      <c r="E310" t="inlineStr">
        <is>
          <t>AUS20</t>
        </is>
      </c>
      <c r="F310" t="inlineStr">
        <is>
          <t>Mohamed Touré - Australia</t>
        </is>
      </c>
      <c r="G310" t="inlineStr">
        <is>
          <t>Base</t>
        </is>
      </c>
      <c r="I310" t="n">
        <v>0</v>
      </c>
    </row>
    <row r="311">
      <c r="A311">
        <f>CHOOSE(MATCH(Config!$B$2,{"PT";"EN"},0),"Seleção","Team")</f>
        <v/>
      </c>
      <c r="B311" t="inlineStr">
        <is>
          <t>Grupo D</t>
        </is>
      </c>
      <c r="C311" t="inlineStr">
        <is>
          <t>TUR</t>
        </is>
      </c>
      <c r="D311" t="inlineStr">
        <is>
          <t>Türkiye</t>
        </is>
      </c>
      <c r="E311" t="inlineStr">
        <is>
          <t>TUR1</t>
        </is>
      </c>
      <c r="F311" t="inlineStr">
        <is>
          <t>Team Logo - Türkiye FOIL</t>
        </is>
      </c>
      <c r="G311" t="inlineStr">
        <is>
          <t>FOIL</t>
        </is>
      </c>
      <c r="I311" t="n">
        <v>0</v>
      </c>
    </row>
    <row r="312">
      <c r="A312">
        <f>CHOOSE(MATCH(Config!$B$2,{"PT";"EN"},0),"Seleção","Team")</f>
        <v/>
      </c>
      <c r="B312" t="inlineStr">
        <is>
          <t>Grupo D</t>
        </is>
      </c>
      <c r="C312" t="inlineStr">
        <is>
          <t>TUR</t>
        </is>
      </c>
      <c r="D312" t="inlineStr">
        <is>
          <t>Türkiye</t>
        </is>
      </c>
      <c r="E312" t="inlineStr">
        <is>
          <t>TUR2</t>
        </is>
      </c>
      <c r="F312" t="inlineStr">
        <is>
          <t>Ugurcan Cakir - Türkiye</t>
        </is>
      </c>
      <c r="G312" t="inlineStr">
        <is>
          <t>Base</t>
        </is>
      </c>
      <c r="I312" t="n">
        <v>0</v>
      </c>
    </row>
    <row r="313">
      <c r="A313">
        <f>CHOOSE(MATCH(Config!$B$2,{"PT";"EN"},0),"Seleção","Team")</f>
        <v/>
      </c>
      <c r="B313" t="inlineStr">
        <is>
          <t>Grupo D</t>
        </is>
      </c>
      <c r="C313" t="inlineStr">
        <is>
          <t>TUR</t>
        </is>
      </c>
      <c r="D313" t="inlineStr">
        <is>
          <t>Türkiye</t>
        </is>
      </c>
      <c r="E313" t="inlineStr">
        <is>
          <t>TUR3</t>
        </is>
      </c>
      <c r="F313" t="inlineStr">
        <is>
          <t>Mert Muldur - Türkiye</t>
        </is>
      </c>
      <c r="G313" t="inlineStr">
        <is>
          <t>Base</t>
        </is>
      </c>
      <c r="I313" t="n">
        <v>0</v>
      </c>
    </row>
    <row r="314">
      <c r="A314">
        <f>CHOOSE(MATCH(Config!$B$2,{"PT";"EN"},0),"Seleção","Team")</f>
        <v/>
      </c>
      <c r="B314" t="inlineStr">
        <is>
          <t>Grupo D</t>
        </is>
      </c>
      <c r="C314" t="inlineStr">
        <is>
          <t>TUR</t>
        </is>
      </c>
      <c r="D314" t="inlineStr">
        <is>
          <t>Türkiye</t>
        </is>
      </c>
      <c r="E314" t="inlineStr">
        <is>
          <t>TUR4</t>
        </is>
      </c>
      <c r="F314" t="inlineStr">
        <is>
          <t>Zeki Celik - Türkiye</t>
        </is>
      </c>
      <c r="G314" t="inlineStr">
        <is>
          <t>Base</t>
        </is>
      </c>
      <c r="I314" t="n">
        <v>0</v>
      </c>
    </row>
    <row r="315">
      <c r="A315">
        <f>CHOOSE(MATCH(Config!$B$2,{"PT";"EN"},0),"Seleção","Team")</f>
        <v/>
      </c>
      <c r="B315" t="inlineStr">
        <is>
          <t>Grupo D</t>
        </is>
      </c>
      <c r="C315" t="inlineStr">
        <is>
          <t>TUR</t>
        </is>
      </c>
      <c r="D315" t="inlineStr">
        <is>
          <t>Türkiye</t>
        </is>
      </c>
      <c r="E315" t="inlineStr">
        <is>
          <t>TUR5</t>
        </is>
      </c>
      <c r="F315" t="inlineStr">
        <is>
          <t>Abdulkerim Bardakci - Türkiye</t>
        </is>
      </c>
      <c r="G315" t="inlineStr">
        <is>
          <t>Base</t>
        </is>
      </c>
      <c r="I315" t="n">
        <v>0</v>
      </c>
    </row>
    <row r="316">
      <c r="A316">
        <f>CHOOSE(MATCH(Config!$B$2,{"PT";"EN"},0),"Seleção","Team")</f>
        <v/>
      </c>
      <c r="B316" t="inlineStr">
        <is>
          <t>Grupo D</t>
        </is>
      </c>
      <c r="C316" t="inlineStr">
        <is>
          <t>TUR</t>
        </is>
      </c>
      <c r="D316" t="inlineStr">
        <is>
          <t>Türkiye</t>
        </is>
      </c>
      <c r="E316" t="inlineStr">
        <is>
          <t>TUR6</t>
        </is>
      </c>
      <c r="F316" t="inlineStr">
        <is>
          <t>Caglar Soyuncu - Türkiye</t>
        </is>
      </c>
      <c r="G316" t="inlineStr">
        <is>
          <t>Base</t>
        </is>
      </c>
      <c r="I316" t="n">
        <v>0</v>
      </c>
    </row>
    <row r="317">
      <c r="A317">
        <f>CHOOSE(MATCH(Config!$B$2,{"PT";"EN"},0),"Seleção","Team")</f>
        <v/>
      </c>
      <c r="B317" t="inlineStr">
        <is>
          <t>Grupo D</t>
        </is>
      </c>
      <c r="C317" t="inlineStr">
        <is>
          <t>TUR</t>
        </is>
      </c>
      <c r="D317" t="inlineStr">
        <is>
          <t>Türkiye</t>
        </is>
      </c>
      <c r="E317" t="inlineStr">
        <is>
          <t>TUR7</t>
        </is>
      </c>
      <c r="F317" t="inlineStr">
        <is>
          <t>Merih Demiral - Türkiye</t>
        </is>
      </c>
      <c r="G317" t="inlineStr">
        <is>
          <t>Base</t>
        </is>
      </c>
      <c r="I317" t="n">
        <v>0</v>
      </c>
    </row>
    <row r="318">
      <c r="A318">
        <f>CHOOSE(MATCH(Config!$B$2,{"PT";"EN"},0),"Seleção","Team")</f>
        <v/>
      </c>
      <c r="B318" t="inlineStr">
        <is>
          <t>Grupo D</t>
        </is>
      </c>
      <c r="C318" t="inlineStr">
        <is>
          <t>TUR</t>
        </is>
      </c>
      <c r="D318" t="inlineStr">
        <is>
          <t>Türkiye</t>
        </is>
      </c>
      <c r="E318" t="inlineStr">
        <is>
          <t>TUR8</t>
        </is>
      </c>
      <c r="F318" t="inlineStr">
        <is>
          <t>Ferdi Kadioglu - Türkiye</t>
        </is>
      </c>
      <c r="G318" t="inlineStr">
        <is>
          <t>Base</t>
        </is>
      </c>
      <c r="I318" t="n">
        <v>0</v>
      </c>
    </row>
    <row r="319">
      <c r="A319">
        <f>CHOOSE(MATCH(Config!$B$2,{"PT";"EN"},0),"Seleção","Team")</f>
        <v/>
      </c>
      <c r="B319" t="inlineStr">
        <is>
          <t>Grupo D</t>
        </is>
      </c>
      <c r="C319" t="inlineStr">
        <is>
          <t>TUR</t>
        </is>
      </c>
      <c r="D319" t="inlineStr">
        <is>
          <t>Türkiye</t>
        </is>
      </c>
      <c r="E319" t="inlineStr">
        <is>
          <t>TUR9</t>
        </is>
      </c>
      <c r="F319" t="inlineStr">
        <is>
          <t>Kaan Ayhan - Türkiye</t>
        </is>
      </c>
      <c r="G319" t="inlineStr">
        <is>
          <t>Base</t>
        </is>
      </c>
      <c r="I319" t="n">
        <v>0</v>
      </c>
    </row>
    <row r="320">
      <c r="A320">
        <f>CHOOSE(MATCH(Config!$B$2,{"PT";"EN"},0),"Seleção","Team")</f>
        <v/>
      </c>
      <c r="B320" t="inlineStr">
        <is>
          <t>Grupo D</t>
        </is>
      </c>
      <c r="C320" t="inlineStr">
        <is>
          <t>TUR</t>
        </is>
      </c>
      <c r="D320" t="inlineStr">
        <is>
          <t>Türkiye</t>
        </is>
      </c>
      <c r="E320" t="inlineStr">
        <is>
          <t>TUR10</t>
        </is>
      </c>
      <c r="F320" t="inlineStr">
        <is>
          <t>Ismail Yuksek - Türkiye</t>
        </is>
      </c>
      <c r="G320" t="inlineStr">
        <is>
          <t>Base</t>
        </is>
      </c>
      <c r="I320" t="n">
        <v>0</v>
      </c>
    </row>
    <row r="321">
      <c r="A321">
        <f>CHOOSE(MATCH(Config!$B$2,{"PT";"EN"},0),"Seleção","Team")</f>
        <v/>
      </c>
      <c r="B321" t="inlineStr">
        <is>
          <t>Grupo D</t>
        </is>
      </c>
      <c r="C321" t="inlineStr">
        <is>
          <t>TUR</t>
        </is>
      </c>
      <c r="D321" t="inlineStr">
        <is>
          <t>Türkiye</t>
        </is>
      </c>
      <c r="E321" t="inlineStr">
        <is>
          <t>TUR11</t>
        </is>
      </c>
      <c r="F321" t="inlineStr">
        <is>
          <t>Hakan Calhanoglu - Türkiye</t>
        </is>
      </c>
      <c r="G321" t="inlineStr">
        <is>
          <t>Base</t>
        </is>
      </c>
      <c r="I321" t="n">
        <v>0</v>
      </c>
    </row>
    <row r="322">
      <c r="A322">
        <f>CHOOSE(MATCH(Config!$B$2,{"PT";"EN"},0),"Seleção","Team")</f>
        <v/>
      </c>
      <c r="B322" t="inlineStr">
        <is>
          <t>Grupo D</t>
        </is>
      </c>
      <c r="C322" t="inlineStr">
        <is>
          <t>TUR</t>
        </is>
      </c>
      <c r="D322" t="inlineStr">
        <is>
          <t>Türkiye</t>
        </is>
      </c>
      <c r="E322" t="inlineStr">
        <is>
          <t>TUR12</t>
        </is>
      </c>
      <c r="F322" t="inlineStr">
        <is>
          <t>Orkun Kokcu - Türkiye</t>
        </is>
      </c>
      <c r="G322" t="inlineStr">
        <is>
          <t>Base</t>
        </is>
      </c>
      <c r="I322" t="n">
        <v>0</v>
      </c>
    </row>
    <row r="323">
      <c r="A323">
        <f>CHOOSE(MATCH(Config!$B$2,{"PT";"EN"},0),"Seleção","Team")</f>
        <v/>
      </c>
      <c r="B323" t="inlineStr">
        <is>
          <t>Grupo D</t>
        </is>
      </c>
      <c r="C323" t="inlineStr">
        <is>
          <t>TUR</t>
        </is>
      </c>
      <c r="D323" t="inlineStr">
        <is>
          <t>Türkiye</t>
        </is>
      </c>
      <c r="E323" t="inlineStr">
        <is>
          <t>TUR13</t>
        </is>
      </c>
      <c r="F323" t="inlineStr">
        <is>
          <t>Team Photo - Türkiye</t>
        </is>
      </c>
      <c r="G323" t="inlineStr">
        <is>
          <t>Base</t>
        </is>
      </c>
      <c r="I323" t="n">
        <v>0</v>
      </c>
    </row>
    <row r="324">
      <c r="A324">
        <f>CHOOSE(MATCH(Config!$B$2,{"PT";"EN"},0),"Seleção","Team")</f>
        <v/>
      </c>
      <c r="B324" t="inlineStr">
        <is>
          <t>Grupo D</t>
        </is>
      </c>
      <c r="C324" t="inlineStr">
        <is>
          <t>TUR</t>
        </is>
      </c>
      <c r="D324" t="inlineStr">
        <is>
          <t>Türkiye</t>
        </is>
      </c>
      <c r="E324" t="inlineStr">
        <is>
          <t>TUR14</t>
        </is>
      </c>
      <c r="F324" t="inlineStr">
        <is>
          <t>Arda Guler - Türkiye</t>
        </is>
      </c>
      <c r="G324" t="inlineStr">
        <is>
          <t>Base</t>
        </is>
      </c>
      <c r="I324" t="n">
        <v>0</v>
      </c>
    </row>
    <row r="325">
      <c r="A325">
        <f>CHOOSE(MATCH(Config!$B$2,{"PT";"EN"},0),"Seleção","Team")</f>
        <v/>
      </c>
      <c r="B325" t="inlineStr">
        <is>
          <t>Grupo D</t>
        </is>
      </c>
      <c r="C325" t="inlineStr">
        <is>
          <t>TUR</t>
        </is>
      </c>
      <c r="D325" t="inlineStr">
        <is>
          <t>Türkiye</t>
        </is>
      </c>
      <c r="E325" t="inlineStr">
        <is>
          <t>TUR15</t>
        </is>
      </c>
      <c r="F325" t="inlineStr">
        <is>
          <t>Irfan Can Kahveci - Türkiye</t>
        </is>
      </c>
      <c r="G325" t="inlineStr">
        <is>
          <t>Base</t>
        </is>
      </c>
      <c r="I325" t="n">
        <v>0</v>
      </c>
    </row>
    <row r="326">
      <c r="A326">
        <f>CHOOSE(MATCH(Config!$B$2,{"PT";"EN"},0),"Seleção","Team")</f>
        <v/>
      </c>
      <c r="B326" t="inlineStr">
        <is>
          <t>Grupo D</t>
        </is>
      </c>
      <c r="C326" t="inlineStr">
        <is>
          <t>TUR</t>
        </is>
      </c>
      <c r="D326" t="inlineStr">
        <is>
          <t>Türkiye</t>
        </is>
      </c>
      <c r="E326" t="inlineStr">
        <is>
          <t>TUR16</t>
        </is>
      </c>
      <c r="F326" t="inlineStr">
        <is>
          <t>Yunus Akgun - Türkiye</t>
        </is>
      </c>
      <c r="G326" t="inlineStr">
        <is>
          <t>Base</t>
        </is>
      </c>
      <c r="I326" t="n">
        <v>0</v>
      </c>
    </row>
    <row r="327">
      <c r="A327">
        <f>CHOOSE(MATCH(Config!$B$2,{"PT";"EN"},0),"Seleção","Team")</f>
        <v/>
      </c>
      <c r="B327" t="inlineStr">
        <is>
          <t>Grupo D</t>
        </is>
      </c>
      <c r="C327" t="inlineStr">
        <is>
          <t>TUR</t>
        </is>
      </c>
      <c r="D327" t="inlineStr">
        <is>
          <t>Türkiye</t>
        </is>
      </c>
      <c r="E327" t="inlineStr">
        <is>
          <t>TUR17</t>
        </is>
      </c>
      <c r="F327" t="inlineStr">
        <is>
          <t>Can Uzun - Türkiye</t>
        </is>
      </c>
      <c r="G327" t="inlineStr">
        <is>
          <t>Base</t>
        </is>
      </c>
      <c r="I327" t="n">
        <v>0</v>
      </c>
    </row>
    <row r="328">
      <c r="A328">
        <f>CHOOSE(MATCH(Config!$B$2,{"PT";"EN"},0),"Seleção","Team")</f>
        <v/>
      </c>
      <c r="B328" t="inlineStr">
        <is>
          <t>Grupo D</t>
        </is>
      </c>
      <c r="C328" t="inlineStr">
        <is>
          <t>TUR</t>
        </is>
      </c>
      <c r="D328" t="inlineStr">
        <is>
          <t>Türkiye</t>
        </is>
      </c>
      <c r="E328" t="inlineStr">
        <is>
          <t>TUR18</t>
        </is>
      </c>
      <c r="F328" t="inlineStr">
        <is>
          <t>Baris Alper Yilmaz - Türkiye</t>
        </is>
      </c>
      <c r="G328" t="inlineStr">
        <is>
          <t>Base</t>
        </is>
      </c>
      <c r="I328" t="n">
        <v>0</v>
      </c>
    </row>
    <row r="329">
      <c r="A329">
        <f>CHOOSE(MATCH(Config!$B$2,{"PT";"EN"},0),"Seleção","Team")</f>
        <v/>
      </c>
      <c r="B329" t="inlineStr">
        <is>
          <t>Grupo D</t>
        </is>
      </c>
      <c r="C329" t="inlineStr">
        <is>
          <t>TUR</t>
        </is>
      </c>
      <c r="D329" t="inlineStr">
        <is>
          <t>Türkiye</t>
        </is>
      </c>
      <c r="E329" t="inlineStr">
        <is>
          <t>TUR19</t>
        </is>
      </c>
      <c r="F329" t="inlineStr">
        <is>
          <t>Kerem Akturkoglu - Türkiye</t>
        </is>
      </c>
      <c r="G329" t="inlineStr">
        <is>
          <t>Base</t>
        </is>
      </c>
      <c r="I329" t="n">
        <v>0</v>
      </c>
    </row>
    <row r="330">
      <c r="A330">
        <f>CHOOSE(MATCH(Config!$B$2,{"PT";"EN"},0),"Seleção","Team")</f>
        <v/>
      </c>
      <c r="B330" t="inlineStr">
        <is>
          <t>Grupo D</t>
        </is>
      </c>
      <c r="C330" t="inlineStr">
        <is>
          <t>TUR</t>
        </is>
      </c>
      <c r="D330" t="inlineStr">
        <is>
          <t>Türkiye</t>
        </is>
      </c>
      <c r="E330" t="inlineStr">
        <is>
          <t>TUR20</t>
        </is>
      </c>
      <c r="F330" t="inlineStr">
        <is>
          <t>Kenan Yildiz - Türkiye</t>
        </is>
      </c>
      <c r="G330" t="inlineStr">
        <is>
          <t>Base</t>
        </is>
      </c>
      <c r="I330" t="n">
        <v>0</v>
      </c>
    </row>
    <row r="331">
      <c r="A331">
        <f>CHOOSE(MATCH(Config!$B$2,{"PT";"EN"},0),"Seleção","Team")</f>
        <v/>
      </c>
      <c r="B331" t="inlineStr">
        <is>
          <t>Grupo E</t>
        </is>
      </c>
      <c r="C331" t="inlineStr">
        <is>
          <t>GER</t>
        </is>
      </c>
      <c r="D331" t="inlineStr">
        <is>
          <t>Germany</t>
        </is>
      </c>
      <c r="E331" t="inlineStr">
        <is>
          <t>GER1</t>
        </is>
      </c>
      <c r="F331" t="inlineStr">
        <is>
          <t>Team Logo - Germany FOIL</t>
        </is>
      </c>
      <c r="G331" t="inlineStr">
        <is>
          <t>FOIL</t>
        </is>
      </c>
      <c r="I331" t="n">
        <v>0</v>
      </c>
    </row>
    <row r="332">
      <c r="A332">
        <f>CHOOSE(MATCH(Config!$B$2,{"PT";"EN"},0),"Seleção","Team")</f>
        <v/>
      </c>
      <c r="B332" t="inlineStr">
        <is>
          <t>Grupo E</t>
        </is>
      </c>
      <c r="C332" t="inlineStr">
        <is>
          <t>GER</t>
        </is>
      </c>
      <c r="D332" t="inlineStr">
        <is>
          <t>Germany</t>
        </is>
      </c>
      <c r="E332" t="inlineStr">
        <is>
          <t>GER2</t>
        </is>
      </c>
      <c r="F332" t="inlineStr">
        <is>
          <t>Marc-André ter Stegen - Germany</t>
        </is>
      </c>
      <c r="G332" t="inlineStr">
        <is>
          <t>Base</t>
        </is>
      </c>
      <c r="I332" t="n">
        <v>0</v>
      </c>
    </row>
    <row r="333">
      <c r="A333">
        <f>CHOOSE(MATCH(Config!$B$2,{"PT";"EN"},0),"Seleção","Team")</f>
        <v/>
      </c>
      <c r="B333" t="inlineStr">
        <is>
          <t>Grupo E</t>
        </is>
      </c>
      <c r="C333" t="inlineStr">
        <is>
          <t>GER</t>
        </is>
      </c>
      <c r="D333" t="inlineStr">
        <is>
          <t>Germany</t>
        </is>
      </c>
      <c r="E333" t="inlineStr">
        <is>
          <t>GER3</t>
        </is>
      </c>
      <c r="F333" t="inlineStr">
        <is>
          <t>Jonathan Tah - Germany</t>
        </is>
      </c>
      <c r="G333" t="inlineStr">
        <is>
          <t>Base</t>
        </is>
      </c>
      <c r="I333" t="n">
        <v>0</v>
      </c>
    </row>
    <row r="334">
      <c r="A334">
        <f>CHOOSE(MATCH(Config!$B$2,{"PT";"EN"},0),"Seleção","Team")</f>
        <v/>
      </c>
      <c r="B334" t="inlineStr">
        <is>
          <t>Grupo E</t>
        </is>
      </c>
      <c r="C334" t="inlineStr">
        <is>
          <t>GER</t>
        </is>
      </c>
      <c r="D334" t="inlineStr">
        <is>
          <t>Germany</t>
        </is>
      </c>
      <c r="E334" t="inlineStr">
        <is>
          <t>GER4</t>
        </is>
      </c>
      <c r="F334" t="inlineStr">
        <is>
          <t>David Raum - Germany</t>
        </is>
      </c>
      <c r="G334" t="inlineStr">
        <is>
          <t>Base</t>
        </is>
      </c>
      <c r="I334" t="n">
        <v>0</v>
      </c>
    </row>
    <row r="335">
      <c r="A335">
        <f>CHOOSE(MATCH(Config!$B$2,{"PT";"EN"},0),"Seleção","Team")</f>
        <v/>
      </c>
      <c r="B335" t="inlineStr">
        <is>
          <t>Grupo E</t>
        </is>
      </c>
      <c r="C335" t="inlineStr">
        <is>
          <t>GER</t>
        </is>
      </c>
      <c r="D335" t="inlineStr">
        <is>
          <t>Germany</t>
        </is>
      </c>
      <c r="E335" t="inlineStr">
        <is>
          <t>GER5</t>
        </is>
      </c>
      <c r="F335" t="inlineStr">
        <is>
          <t>Nico Schlotterbeck - Germany</t>
        </is>
      </c>
      <c r="G335" t="inlineStr">
        <is>
          <t>Base</t>
        </is>
      </c>
      <c r="I335" t="n">
        <v>0</v>
      </c>
    </row>
    <row r="336">
      <c r="A336">
        <f>CHOOSE(MATCH(Config!$B$2,{"PT";"EN"},0),"Seleção","Team")</f>
        <v/>
      </c>
      <c r="B336" t="inlineStr">
        <is>
          <t>Grupo E</t>
        </is>
      </c>
      <c r="C336" t="inlineStr">
        <is>
          <t>GER</t>
        </is>
      </c>
      <c r="D336" t="inlineStr">
        <is>
          <t>Germany</t>
        </is>
      </c>
      <c r="E336" t="inlineStr">
        <is>
          <t>GER6</t>
        </is>
      </c>
      <c r="F336" t="inlineStr">
        <is>
          <t>Antonio Rüdiger - Germany</t>
        </is>
      </c>
      <c r="G336" t="inlineStr">
        <is>
          <t>Base</t>
        </is>
      </c>
      <c r="I336" t="n">
        <v>0</v>
      </c>
    </row>
    <row r="337">
      <c r="A337">
        <f>CHOOSE(MATCH(Config!$B$2,{"PT";"EN"},0),"Seleção","Team")</f>
        <v/>
      </c>
      <c r="B337" t="inlineStr">
        <is>
          <t>Grupo E</t>
        </is>
      </c>
      <c r="C337" t="inlineStr">
        <is>
          <t>GER</t>
        </is>
      </c>
      <c r="D337" t="inlineStr">
        <is>
          <t>Germany</t>
        </is>
      </c>
      <c r="E337" t="inlineStr">
        <is>
          <t>GER7</t>
        </is>
      </c>
      <c r="F337" t="inlineStr">
        <is>
          <t>Waldemar Anton - Germany</t>
        </is>
      </c>
      <c r="G337" t="inlineStr">
        <is>
          <t>Base</t>
        </is>
      </c>
      <c r="I337" t="n">
        <v>0</v>
      </c>
    </row>
    <row r="338">
      <c r="A338">
        <f>CHOOSE(MATCH(Config!$B$2,{"PT";"EN"},0),"Seleção","Team")</f>
        <v/>
      </c>
      <c r="B338" t="inlineStr">
        <is>
          <t>Grupo E</t>
        </is>
      </c>
      <c r="C338" t="inlineStr">
        <is>
          <t>GER</t>
        </is>
      </c>
      <c r="D338" t="inlineStr">
        <is>
          <t>Germany</t>
        </is>
      </c>
      <c r="E338" t="inlineStr">
        <is>
          <t>GER8</t>
        </is>
      </c>
      <c r="F338" t="inlineStr">
        <is>
          <t>Ridle Baku - Germany</t>
        </is>
      </c>
      <c r="G338" t="inlineStr">
        <is>
          <t>Base</t>
        </is>
      </c>
      <c r="I338" t="n">
        <v>0</v>
      </c>
    </row>
    <row r="339">
      <c r="A339">
        <f>CHOOSE(MATCH(Config!$B$2,{"PT";"EN"},0),"Seleção","Team")</f>
        <v/>
      </c>
      <c r="B339" t="inlineStr">
        <is>
          <t>Grupo E</t>
        </is>
      </c>
      <c r="C339" t="inlineStr">
        <is>
          <t>GER</t>
        </is>
      </c>
      <c r="D339" t="inlineStr">
        <is>
          <t>Germany</t>
        </is>
      </c>
      <c r="E339" t="inlineStr">
        <is>
          <t>GER9</t>
        </is>
      </c>
      <c r="F339" t="inlineStr">
        <is>
          <t>Maximilian Mittelstadt - Germany</t>
        </is>
      </c>
      <c r="G339" t="inlineStr">
        <is>
          <t>Base</t>
        </is>
      </c>
      <c r="I339" t="n">
        <v>0</v>
      </c>
    </row>
    <row r="340">
      <c r="A340">
        <f>CHOOSE(MATCH(Config!$B$2,{"PT";"EN"},0),"Seleção","Team")</f>
        <v/>
      </c>
      <c r="B340" t="inlineStr">
        <is>
          <t>Grupo E</t>
        </is>
      </c>
      <c r="C340" t="inlineStr">
        <is>
          <t>GER</t>
        </is>
      </c>
      <c r="D340" t="inlineStr">
        <is>
          <t>Germany</t>
        </is>
      </c>
      <c r="E340" t="inlineStr">
        <is>
          <t>GER10</t>
        </is>
      </c>
      <c r="F340" t="inlineStr">
        <is>
          <t>Joshua Kimmich - Germany</t>
        </is>
      </c>
      <c r="G340" t="inlineStr">
        <is>
          <t>Base</t>
        </is>
      </c>
      <c r="I340" t="n">
        <v>0</v>
      </c>
    </row>
    <row r="341">
      <c r="A341">
        <f>CHOOSE(MATCH(Config!$B$2,{"PT";"EN"},0),"Seleção","Team")</f>
        <v/>
      </c>
      <c r="B341" t="inlineStr">
        <is>
          <t>Grupo E</t>
        </is>
      </c>
      <c r="C341" t="inlineStr">
        <is>
          <t>GER</t>
        </is>
      </c>
      <c r="D341" t="inlineStr">
        <is>
          <t>Germany</t>
        </is>
      </c>
      <c r="E341" t="inlineStr">
        <is>
          <t>GER11</t>
        </is>
      </c>
      <c r="F341" t="inlineStr">
        <is>
          <t>Florian Wirtz - Germany</t>
        </is>
      </c>
      <c r="G341" t="inlineStr">
        <is>
          <t>Base</t>
        </is>
      </c>
      <c r="I341" t="n">
        <v>0</v>
      </c>
    </row>
    <row r="342">
      <c r="A342">
        <f>CHOOSE(MATCH(Config!$B$2,{"PT";"EN"},0),"Seleção","Team")</f>
        <v/>
      </c>
      <c r="B342" t="inlineStr">
        <is>
          <t>Grupo E</t>
        </is>
      </c>
      <c r="C342" t="inlineStr">
        <is>
          <t>GER</t>
        </is>
      </c>
      <c r="D342" t="inlineStr">
        <is>
          <t>Germany</t>
        </is>
      </c>
      <c r="E342" t="inlineStr">
        <is>
          <t>GER12</t>
        </is>
      </c>
      <c r="F342" t="inlineStr">
        <is>
          <t>Felix Nmecha - Germany</t>
        </is>
      </c>
      <c r="G342" t="inlineStr">
        <is>
          <t>Base</t>
        </is>
      </c>
      <c r="I342" t="n">
        <v>0</v>
      </c>
    </row>
    <row r="343">
      <c r="A343">
        <f>CHOOSE(MATCH(Config!$B$2,{"PT";"EN"},0),"Seleção","Team")</f>
        <v/>
      </c>
      <c r="B343" t="inlineStr">
        <is>
          <t>Grupo E</t>
        </is>
      </c>
      <c r="C343" t="inlineStr">
        <is>
          <t>GER</t>
        </is>
      </c>
      <c r="D343" t="inlineStr">
        <is>
          <t>Germany</t>
        </is>
      </c>
      <c r="E343" t="inlineStr">
        <is>
          <t>GER13</t>
        </is>
      </c>
      <c r="F343" t="inlineStr">
        <is>
          <t>Team Photo - Germany</t>
        </is>
      </c>
      <c r="G343" t="inlineStr">
        <is>
          <t>Base</t>
        </is>
      </c>
      <c r="I343" t="n">
        <v>0</v>
      </c>
    </row>
    <row r="344">
      <c r="A344">
        <f>CHOOSE(MATCH(Config!$B$2,{"PT";"EN"},0),"Seleção","Team")</f>
        <v/>
      </c>
      <c r="B344" t="inlineStr">
        <is>
          <t>Grupo E</t>
        </is>
      </c>
      <c r="C344" t="inlineStr">
        <is>
          <t>GER</t>
        </is>
      </c>
      <c r="D344" t="inlineStr">
        <is>
          <t>Germany</t>
        </is>
      </c>
      <c r="E344" t="inlineStr">
        <is>
          <t>GER14</t>
        </is>
      </c>
      <c r="F344" t="inlineStr">
        <is>
          <t>Leon Goretzka - Germany</t>
        </is>
      </c>
      <c r="G344" t="inlineStr">
        <is>
          <t>Base</t>
        </is>
      </c>
      <c r="I344" t="n">
        <v>0</v>
      </c>
    </row>
    <row r="345">
      <c r="A345">
        <f>CHOOSE(MATCH(Config!$B$2,{"PT";"EN"},0),"Seleção","Team")</f>
        <v/>
      </c>
      <c r="B345" t="inlineStr">
        <is>
          <t>Grupo E</t>
        </is>
      </c>
      <c r="C345" t="inlineStr">
        <is>
          <t>GER</t>
        </is>
      </c>
      <c r="D345" t="inlineStr">
        <is>
          <t>Germany</t>
        </is>
      </c>
      <c r="E345" t="inlineStr">
        <is>
          <t>GER15</t>
        </is>
      </c>
      <c r="F345" t="inlineStr">
        <is>
          <t>Jamal Musiala - Germany</t>
        </is>
      </c>
      <c r="G345" t="inlineStr">
        <is>
          <t>Base</t>
        </is>
      </c>
      <c r="I345" t="n">
        <v>0</v>
      </c>
    </row>
    <row r="346">
      <c r="A346">
        <f>CHOOSE(MATCH(Config!$B$2,{"PT";"EN"},0),"Seleção","Team")</f>
        <v/>
      </c>
      <c r="B346" t="inlineStr">
        <is>
          <t>Grupo E</t>
        </is>
      </c>
      <c r="C346" t="inlineStr">
        <is>
          <t>GER</t>
        </is>
      </c>
      <c r="D346" t="inlineStr">
        <is>
          <t>Germany</t>
        </is>
      </c>
      <c r="E346" t="inlineStr">
        <is>
          <t>GER16</t>
        </is>
      </c>
      <c r="F346" t="inlineStr">
        <is>
          <t>Serge Gnabry - Germany</t>
        </is>
      </c>
      <c r="G346" t="inlineStr">
        <is>
          <t>Base</t>
        </is>
      </c>
      <c r="I346" t="n">
        <v>0</v>
      </c>
    </row>
    <row r="347">
      <c r="A347">
        <f>CHOOSE(MATCH(Config!$B$2,{"PT";"EN"},0),"Seleção","Team")</f>
        <v/>
      </c>
      <c r="B347" t="inlineStr">
        <is>
          <t>Grupo E</t>
        </is>
      </c>
      <c r="C347" t="inlineStr">
        <is>
          <t>GER</t>
        </is>
      </c>
      <c r="D347" t="inlineStr">
        <is>
          <t>Germany</t>
        </is>
      </c>
      <c r="E347" t="inlineStr">
        <is>
          <t>GER17</t>
        </is>
      </c>
      <c r="F347" t="inlineStr">
        <is>
          <t>Kai Havertz - Germany</t>
        </is>
      </c>
      <c r="G347" t="inlineStr">
        <is>
          <t>Base</t>
        </is>
      </c>
      <c r="I347" t="n">
        <v>0</v>
      </c>
    </row>
    <row r="348">
      <c r="A348">
        <f>CHOOSE(MATCH(Config!$B$2,{"PT";"EN"},0),"Seleção","Team")</f>
        <v/>
      </c>
      <c r="B348" t="inlineStr">
        <is>
          <t>Grupo E</t>
        </is>
      </c>
      <c r="C348" t="inlineStr">
        <is>
          <t>GER</t>
        </is>
      </c>
      <c r="D348" t="inlineStr">
        <is>
          <t>Germany</t>
        </is>
      </c>
      <c r="E348" t="inlineStr">
        <is>
          <t>GER18</t>
        </is>
      </c>
      <c r="F348" t="inlineStr">
        <is>
          <t>Leroy Sane - Germany</t>
        </is>
      </c>
      <c r="G348" t="inlineStr">
        <is>
          <t>Base</t>
        </is>
      </c>
      <c r="I348" t="n">
        <v>0</v>
      </c>
    </row>
    <row r="349">
      <c r="A349">
        <f>CHOOSE(MATCH(Config!$B$2,{"PT";"EN"},0),"Seleção","Team")</f>
        <v/>
      </c>
      <c r="B349" t="inlineStr">
        <is>
          <t>Grupo E</t>
        </is>
      </c>
      <c r="C349" t="inlineStr">
        <is>
          <t>GER</t>
        </is>
      </c>
      <c r="D349" t="inlineStr">
        <is>
          <t>Germany</t>
        </is>
      </c>
      <c r="E349" t="inlineStr">
        <is>
          <t>GER19</t>
        </is>
      </c>
      <c r="F349" t="inlineStr">
        <is>
          <t>Karim Adeyemi - Germany</t>
        </is>
      </c>
      <c r="G349" t="inlineStr">
        <is>
          <t>Base</t>
        </is>
      </c>
      <c r="I349" t="n">
        <v>0</v>
      </c>
    </row>
    <row r="350">
      <c r="A350">
        <f>CHOOSE(MATCH(Config!$B$2,{"PT";"EN"},0),"Seleção","Team")</f>
        <v/>
      </c>
      <c r="B350" t="inlineStr">
        <is>
          <t>Grupo E</t>
        </is>
      </c>
      <c r="C350" t="inlineStr">
        <is>
          <t>GER</t>
        </is>
      </c>
      <c r="D350" t="inlineStr">
        <is>
          <t>Germany</t>
        </is>
      </c>
      <c r="E350" t="inlineStr">
        <is>
          <t>GER20</t>
        </is>
      </c>
      <c r="F350" t="inlineStr">
        <is>
          <t>Nick Woltemade - Germany</t>
        </is>
      </c>
      <c r="G350" t="inlineStr">
        <is>
          <t>Base</t>
        </is>
      </c>
      <c r="I350" t="n">
        <v>0</v>
      </c>
    </row>
    <row r="351">
      <c r="A351">
        <f>CHOOSE(MATCH(Config!$B$2,{"PT";"EN"},0),"Seleção","Team")</f>
        <v/>
      </c>
      <c r="B351" t="inlineStr">
        <is>
          <t>Grupo E</t>
        </is>
      </c>
      <c r="C351" t="inlineStr">
        <is>
          <t>CUW</t>
        </is>
      </c>
      <c r="D351" t="inlineStr">
        <is>
          <t>Curaçao</t>
        </is>
      </c>
      <c r="E351" t="inlineStr">
        <is>
          <t>CUW1</t>
        </is>
      </c>
      <c r="F351" t="inlineStr">
        <is>
          <t>Team Logo - Curaçao FOIL</t>
        </is>
      </c>
      <c r="G351" t="inlineStr">
        <is>
          <t>FOIL</t>
        </is>
      </c>
      <c r="I351" t="n">
        <v>0</v>
      </c>
    </row>
    <row r="352">
      <c r="A352">
        <f>CHOOSE(MATCH(Config!$B$2,{"PT";"EN"},0),"Seleção","Team")</f>
        <v/>
      </c>
      <c r="B352" t="inlineStr">
        <is>
          <t>Grupo E</t>
        </is>
      </c>
      <c r="C352" t="inlineStr">
        <is>
          <t>CUW</t>
        </is>
      </c>
      <c r="D352" t="inlineStr">
        <is>
          <t>Curaçao</t>
        </is>
      </c>
      <c r="E352" t="inlineStr">
        <is>
          <t>CUW2</t>
        </is>
      </c>
      <c r="F352" t="inlineStr">
        <is>
          <t>Eloy Room - Curaçao</t>
        </is>
      </c>
      <c r="G352" t="inlineStr">
        <is>
          <t>Base</t>
        </is>
      </c>
      <c r="I352" t="n">
        <v>0</v>
      </c>
    </row>
    <row r="353">
      <c r="A353">
        <f>CHOOSE(MATCH(Config!$B$2,{"PT";"EN"},0),"Seleção","Team")</f>
        <v/>
      </c>
      <c r="B353" t="inlineStr">
        <is>
          <t>Grupo E</t>
        </is>
      </c>
      <c r="C353" t="inlineStr">
        <is>
          <t>CUW</t>
        </is>
      </c>
      <c r="D353" t="inlineStr">
        <is>
          <t>Curaçao</t>
        </is>
      </c>
      <c r="E353" t="inlineStr">
        <is>
          <t>CUW3</t>
        </is>
      </c>
      <c r="F353" t="inlineStr">
        <is>
          <t>Armando Obispo - Curaçao</t>
        </is>
      </c>
      <c r="G353" t="inlineStr">
        <is>
          <t>Base</t>
        </is>
      </c>
      <c r="I353" t="n">
        <v>0</v>
      </c>
    </row>
    <row r="354">
      <c r="A354">
        <f>CHOOSE(MATCH(Config!$B$2,{"PT";"EN"},0),"Seleção","Team")</f>
        <v/>
      </c>
      <c r="B354" t="inlineStr">
        <is>
          <t>Grupo E</t>
        </is>
      </c>
      <c r="C354" t="inlineStr">
        <is>
          <t>CUW</t>
        </is>
      </c>
      <c r="D354" t="inlineStr">
        <is>
          <t>Curaçao</t>
        </is>
      </c>
      <c r="E354" t="inlineStr">
        <is>
          <t>CUW4</t>
        </is>
      </c>
      <c r="F354" t="inlineStr">
        <is>
          <t>Sherel Floranus - Curaçao</t>
        </is>
      </c>
      <c r="G354" t="inlineStr">
        <is>
          <t>Base</t>
        </is>
      </c>
      <c r="I354" t="n">
        <v>0</v>
      </c>
    </row>
    <row r="355">
      <c r="A355">
        <f>CHOOSE(MATCH(Config!$B$2,{"PT";"EN"},0),"Seleção","Team")</f>
        <v/>
      </c>
      <c r="B355" t="inlineStr">
        <is>
          <t>Grupo E</t>
        </is>
      </c>
      <c r="C355" t="inlineStr">
        <is>
          <t>CUW</t>
        </is>
      </c>
      <c r="D355" t="inlineStr">
        <is>
          <t>Curaçao</t>
        </is>
      </c>
      <c r="E355" t="inlineStr">
        <is>
          <t>CUW5</t>
        </is>
      </c>
      <c r="F355" t="inlineStr">
        <is>
          <t>Jurien Gaari - Curaçao</t>
        </is>
      </c>
      <c r="G355" t="inlineStr">
        <is>
          <t>Base</t>
        </is>
      </c>
      <c r="I355" t="n">
        <v>0</v>
      </c>
    </row>
    <row r="356">
      <c r="A356">
        <f>CHOOSE(MATCH(Config!$B$2,{"PT";"EN"},0),"Seleção","Team")</f>
        <v/>
      </c>
      <c r="B356" t="inlineStr">
        <is>
          <t>Grupo E</t>
        </is>
      </c>
      <c r="C356" t="inlineStr">
        <is>
          <t>CUW</t>
        </is>
      </c>
      <c r="D356" t="inlineStr">
        <is>
          <t>Curaçao</t>
        </is>
      </c>
      <c r="E356" t="inlineStr">
        <is>
          <t>CUW6</t>
        </is>
      </c>
      <c r="F356" t="inlineStr">
        <is>
          <t>Joshua Brenet - Curaçao</t>
        </is>
      </c>
      <c r="G356" t="inlineStr">
        <is>
          <t>Base</t>
        </is>
      </c>
      <c r="I356" t="n">
        <v>0</v>
      </c>
    </row>
    <row r="357">
      <c r="A357">
        <f>CHOOSE(MATCH(Config!$B$2,{"PT";"EN"},0),"Seleção","Team")</f>
        <v/>
      </c>
      <c r="B357" t="inlineStr">
        <is>
          <t>Grupo E</t>
        </is>
      </c>
      <c r="C357" t="inlineStr">
        <is>
          <t>CUW</t>
        </is>
      </c>
      <c r="D357" t="inlineStr">
        <is>
          <t>Curaçao</t>
        </is>
      </c>
      <c r="E357" t="inlineStr">
        <is>
          <t>CUW7</t>
        </is>
      </c>
      <c r="F357" t="inlineStr">
        <is>
          <t>Roshon Van Eijma - Curaçao</t>
        </is>
      </c>
      <c r="G357" t="inlineStr">
        <is>
          <t>Base</t>
        </is>
      </c>
      <c r="I357" t="n">
        <v>0</v>
      </c>
    </row>
    <row r="358">
      <c r="A358">
        <f>CHOOSE(MATCH(Config!$B$2,{"PT";"EN"},0),"Seleção","Team")</f>
        <v/>
      </c>
      <c r="B358" t="inlineStr">
        <is>
          <t>Grupo E</t>
        </is>
      </c>
      <c r="C358" t="inlineStr">
        <is>
          <t>CUW</t>
        </is>
      </c>
      <c r="D358" t="inlineStr">
        <is>
          <t>Curaçao</t>
        </is>
      </c>
      <c r="E358" t="inlineStr">
        <is>
          <t>CUW8</t>
        </is>
      </c>
      <c r="F358" t="inlineStr">
        <is>
          <t>Shurandy Sambo - Curaçao</t>
        </is>
      </c>
      <c r="G358" t="inlineStr">
        <is>
          <t>Base</t>
        </is>
      </c>
      <c r="I358" t="n">
        <v>0</v>
      </c>
    </row>
    <row r="359">
      <c r="A359">
        <f>CHOOSE(MATCH(Config!$B$2,{"PT";"EN"},0),"Seleção","Team")</f>
        <v/>
      </c>
      <c r="B359" t="inlineStr">
        <is>
          <t>Grupo E</t>
        </is>
      </c>
      <c r="C359" t="inlineStr">
        <is>
          <t>CUW</t>
        </is>
      </c>
      <c r="D359" t="inlineStr">
        <is>
          <t>Curaçao</t>
        </is>
      </c>
      <c r="E359" t="inlineStr">
        <is>
          <t>CUW9</t>
        </is>
      </c>
      <c r="F359" t="inlineStr">
        <is>
          <t>Livano Comenencia - Curaçao</t>
        </is>
      </c>
      <c r="G359" t="inlineStr">
        <is>
          <t>Base</t>
        </is>
      </c>
      <c r="I359" t="n">
        <v>0</v>
      </c>
    </row>
    <row r="360">
      <c r="A360">
        <f>CHOOSE(MATCH(Config!$B$2,{"PT";"EN"},0),"Seleção","Team")</f>
        <v/>
      </c>
      <c r="B360" t="inlineStr">
        <is>
          <t>Grupo E</t>
        </is>
      </c>
      <c r="C360" t="inlineStr">
        <is>
          <t>CUW</t>
        </is>
      </c>
      <c r="D360" t="inlineStr">
        <is>
          <t>Curaçao</t>
        </is>
      </c>
      <c r="E360" t="inlineStr">
        <is>
          <t>CUW10</t>
        </is>
      </c>
      <c r="F360" t="inlineStr">
        <is>
          <t>Godfried Roemeratoe - Curaçao</t>
        </is>
      </c>
      <c r="G360" t="inlineStr">
        <is>
          <t>Base</t>
        </is>
      </c>
      <c r="I360" t="n">
        <v>0</v>
      </c>
    </row>
    <row r="361">
      <c r="A361">
        <f>CHOOSE(MATCH(Config!$B$2,{"PT";"EN"},0),"Seleção","Team")</f>
        <v/>
      </c>
      <c r="B361" t="inlineStr">
        <is>
          <t>Grupo E</t>
        </is>
      </c>
      <c r="C361" t="inlineStr">
        <is>
          <t>CUW</t>
        </is>
      </c>
      <c r="D361" t="inlineStr">
        <is>
          <t>Curaçao</t>
        </is>
      </c>
      <c r="E361" t="inlineStr">
        <is>
          <t>CUW11</t>
        </is>
      </c>
      <c r="F361" t="inlineStr">
        <is>
          <t>Juninho Bacuna - Curaçao</t>
        </is>
      </c>
      <c r="G361" t="inlineStr">
        <is>
          <t>Base</t>
        </is>
      </c>
      <c r="I361" t="n">
        <v>0</v>
      </c>
    </row>
    <row r="362">
      <c r="A362">
        <f>CHOOSE(MATCH(Config!$B$2,{"PT";"EN"},0),"Seleção","Team")</f>
        <v/>
      </c>
      <c r="B362" t="inlineStr">
        <is>
          <t>Grupo E</t>
        </is>
      </c>
      <c r="C362" t="inlineStr">
        <is>
          <t>CUW</t>
        </is>
      </c>
      <c r="D362" t="inlineStr">
        <is>
          <t>Curaçao</t>
        </is>
      </c>
      <c r="E362" t="inlineStr">
        <is>
          <t>CUW12</t>
        </is>
      </c>
      <c r="F362" t="inlineStr">
        <is>
          <t>Leandro Bacuna - Curaçao</t>
        </is>
      </c>
      <c r="G362" t="inlineStr">
        <is>
          <t>Base</t>
        </is>
      </c>
      <c r="I362" t="n">
        <v>0</v>
      </c>
    </row>
    <row r="363">
      <c r="A363">
        <f>CHOOSE(MATCH(Config!$B$2,{"PT";"EN"},0),"Seleção","Team")</f>
        <v/>
      </c>
      <c r="B363" t="inlineStr">
        <is>
          <t>Grupo E</t>
        </is>
      </c>
      <c r="C363" t="inlineStr">
        <is>
          <t>CUW</t>
        </is>
      </c>
      <c r="D363" t="inlineStr">
        <is>
          <t>Curaçao</t>
        </is>
      </c>
      <c r="E363" t="inlineStr">
        <is>
          <t>CUW13</t>
        </is>
      </c>
      <c r="F363" t="inlineStr">
        <is>
          <t>Team Photo - Curaçao</t>
        </is>
      </c>
      <c r="G363" t="inlineStr">
        <is>
          <t>Base</t>
        </is>
      </c>
      <c r="I363" t="n">
        <v>0</v>
      </c>
    </row>
    <row r="364">
      <c r="A364">
        <f>CHOOSE(MATCH(Config!$B$2,{"PT";"EN"},0),"Seleção","Team")</f>
        <v/>
      </c>
      <c r="B364" t="inlineStr">
        <is>
          <t>Grupo E</t>
        </is>
      </c>
      <c r="C364" t="inlineStr">
        <is>
          <t>CUW</t>
        </is>
      </c>
      <c r="D364" t="inlineStr">
        <is>
          <t>Curaçao</t>
        </is>
      </c>
      <c r="E364" t="inlineStr">
        <is>
          <t>CUW14</t>
        </is>
      </c>
      <c r="F364" t="inlineStr">
        <is>
          <t>Tahith Chong - Curaçao</t>
        </is>
      </c>
      <c r="G364" t="inlineStr">
        <is>
          <t>Base</t>
        </is>
      </c>
      <c r="I364" t="n">
        <v>0</v>
      </c>
    </row>
    <row r="365">
      <c r="A365">
        <f>CHOOSE(MATCH(Config!$B$2,{"PT";"EN"},0),"Seleção","Team")</f>
        <v/>
      </c>
      <c r="B365" t="inlineStr">
        <is>
          <t>Grupo E</t>
        </is>
      </c>
      <c r="C365" t="inlineStr">
        <is>
          <t>CUW</t>
        </is>
      </c>
      <c r="D365" t="inlineStr">
        <is>
          <t>Curaçao</t>
        </is>
      </c>
      <c r="E365" t="inlineStr">
        <is>
          <t>CUW15</t>
        </is>
      </c>
      <c r="F365" t="inlineStr">
        <is>
          <t>Kenji Gorre - Curaçao</t>
        </is>
      </c>
      <c r="G365" t="inlineStr">
        <is>
          <t>Base</t>
        </is>
      </c>
      <c r="I365" t="n">
        <v>0</v>
      </c>
    </row>
    <row r="366">
      <c r="A366">
        <f>CHOOSE(MATCH(Config!$B$2,{"PT";"EN"},0),"Seleção","Team")</f>
        <v/>
      </c>
      <c r="B366" t="inlineStr">
        <is>
          <t>Grupo E</t>
        </is>
      </c>
      <c r="C366" t="inlineStr">
        <is>
          <t>CUW</t>
        </is>
      </c>
      <c r="D366" t="inlineStr">
        <is>
          <t>Curaçao</t>
        </is>
      </c>
      <c r="E366" t="inlineStr">
        <is>
          <t>CUW16</t>
        </is>
      </c>
      <c r="F366" t="inlineStr">
        <is>
          <t>Jearl Margaritha - Curaçao</t>
        </is>
      </c>
      <c r="G366" t="inlineStr">
        <is>
          <t>Base</t>
        </is>
      </c>
      <c r="I366" t="n">
        <v>0</v>
      </c>
    </row>
    <row r="367">
      <c r="A367">
        <f>CHOOSE(MATCH(Config!$B$2,{"PT";"EN"},0),"Seleção","Team")</f>
        <v/>
      </c>
      <c r="B367" t="inlineStr">
        <is>
          <t>Grupo E</t>
        </is>
      </c>
      <c r="C367" t="inlineStr">
        <is>
          <t>CUW</t>
        </is>
      </c>
      <c r="D367" t="inlineStr">
        <is>
          <t>Curaçao</t>
        </is>
      </c>
      <c r="E367" t="inlineStr">
        <is>
          <t>CUW17</t>
        </is>
      </c>
      <c r="F367" t="inlineStr">
        <is>
          <t>Jurgen Locadia - Curaçao</t>
        </is>
      </c>
      <c r="G367" t="inlineStr">
        <is>
          <t>Base</t>
        </is>
      </c>
      <c r="I367" t="n">
        <v>0</v>
      </c>
    </row>
    <row r="368">
      <c r="A368">
        <f>CHOOSE(MATCH(Config!$B$2,{"PT";"EN"},0),"Seleção","Team")</f>
        <v/>
      </c>
      <c r="B368" t="inlineStr">
        <is>
          <t>Grupo E</t>
        </is>
      </c>
      <c r="C368" t="inlineStr">
        <is>
          <t>CUW</t>
        </is>
      </c>
      <c r="D368" t="inlineStr">
        <is>
          <t>Curaçao</t>
        </is>
      </c>
      <c r="E368" t="inlineStr">
        <is>
          <t>CUW18</t>
        </is>
      </c>
      <c r="F368" t="inlineStr">
        <is>
          <t>Jeremy Antonisse - Curaçao</t>
        </is>
      </c>
      <c r="G368" t="inlineStr">
        <is>
          <t>Base</t>
        </is>
      </c>
      <c r="I368" t="n">
        <v>0</v>
      </c>
    </row>
    <row r="369">
      <c r="A369">
        <f>CHOOSE(MATCH(Config!$B$2,{"PT";"EN"},0),"Seleção","Team")</f>
        <v/>
      </c>
      <c r="B369" t="inlineStr">
        <is>
          <t>Grupo E</t>
        </is>
      </c>
      <c r="C369" t="inlineStr">
        <is>
          <t>CUW</t>
        </is>
      </c>
      <c r="D369" t="inlineStr">
        <is>
          <t>Curaçao</t>
        </is>
      </c>
      <c r="E369" t="inlineStr">
        <is>
          <t>CUW19</t>
        </is>
      </c>
      <c r="F369" t="inlineStr">
        <is>
          <t>Gervane Kastaneer - Curaçao</t>
        </is>
      </c>
      <c r="G369" t="inlineStr">
        <is>
          <t>Base</t>
        </is>
      </c>
      <c r="I369" t="n">
        <v>0</v>
      </c>
    </row>
    <row r="370">
      <c r="A370">
        <f>CHOOSE(MATCH(Config!$B$2,{"PT";"EN"},0),"Seleção","Team")</f>
        <v/>
      </c>
      <c r="B370" t="inlineStr">
        <is>
          <t>Grupo E</t>
        </is>
      </c>
      <c r="C370" t="inlineStr">
        <is>
          <t>CUW</t>
        </is>
      </c>
      <c r="D370" t="inlineStr">
        <is>
          <t>Curaçao</t>
        </is>
      </c>
      <c r="E370" t="inlineStr">
        <is>
          <t>CUW20</t>
        </is>
      </c>
      <c r="F370" t="inlineStr">
        <is>
          <t>Sontje Hansen - Curaçao</t>
        </is>
      </c>
      <c r="G370" t="inlineStr">
        <is>
          <t>Base</t>
        </is>
      </c>
      <c r="I370" t="n">
        <v>0</v>
      </c>
    </row>
    <row r="371">
      <c r="A371">
        <f>CHOOSE(MATCH(Config!$B$2,{"PT";"EN"},0),"Seleção","Team")</f>
        <v/>
      </c>
      <c r="B371" t="inlineStr">
        <is>
          <t>Grupo E</t>
        </is>
      </c>
      <c r="C371" t="inlineStr">
        <is>
          <t>CIV</t>
        </is>
      </c>
      <c r="D371" t="inlineStr">
        <is>
          <t>Ivory Coast</t>
        </is>
      </c>
      <c r="E371" t="inlineStr">
        <is>
          <t>CIV1</t>
        </is>
      </c>
      <c r="F371" t="inlineStr">
        <is>
          <t>Team Logo - Ivory Coast FOIL</t>
        </is>
      </c>
      <c r="G371" t="inlineStr">
        <is>
          <t>FOIL</t>
        </is>
      </c>
      <c r="I371" t="n">
        <v>0</v>
      </c>
    </row>
    <row r="372">
      <c r="A372">
        <f>CHOOSE(MATCH(Config!$B$2,{"PT";"EN"},0),"Seleção","Team")</f>
        <v/>
      </c>
      <c r="B372" t="inlineStr">
        <is>
          <t>Grupo E</t>
        </is>
      </c>
      <c r="C372" t="inlineStr">
        <is>
          <t>CIV</t>
        </is>
      </c>
      <c r="D372" t="inlineStr">
        <is>
          <t>Ivory Coast</t>
        </is>
      </c>
      <c r="E372" t="inlineStr">
        <is>
          <t>CIV2</t>
        </is>
      </c>
      <c r="F372" t="inlineStr">
        <is>
          <t>Yahia Fofana - Ivory Coast</t>
        </is>
      </c>
      <c r="G372" t="inlineStr">
        <is>
          <t>Base</t>
        </is>
      </c>
      <c r="I372" t="n">
        <v>0</v>
      </c>
    </row>
    <row r="373">
      <c r="A373">
        <f>CHOOSE(MATCH(Config!$B$2,{"PT";"EN"},0),"Seleção","Team")</f>
        <v/>
      </c>
      <c r="B373" t="inlineStr">
        <is>
          <t>Grupo E</t>
        </is>
      </c>
      <c r="C373" t="inlineStr">
        <is>
          <t>CIV</t>
        </is>
      </c>
      <c r="D373" t="inlineStr">
        <is>
          <t>Ivory Coast</t>
        </is>
      </c>
      <c r="E373" t="inlineStr">
        <is>
          <t>CIV3</t>
        </is>
      </c>
      <c r="F373" t="inlineStr">
        <is>
          <t>Ghislain Konan - Ivory Coast</t>
        </is>
      </c>
      <c r="G373" t="inlineStr">
        <is>
          <t>Base</t>
        </is>
      </c>
      <c r="I373" t="n">
        <v>0</v>
      </c>
    </row>
    <row r="374">
      <c r="A374">
        <f>CHOOSE(MATCH(Config!$B$2,{"PT";"EN"},0),"Seleção","Team")</f>
        <v/>
      </c>
      <c r="B374" t="inlineStr">
        <is>
          <t>Grupo E</t>
        </is>
      </c>
      <c r="C374" t="inlineStr">
        <is>
          <t>CIV</t>
        </is>
      </c>
      <c r="D374" t="inlineStr">
        <is>
          <t>Ivory Coast</t>
        </is>
      </c>
      <c r="E374" t="inlineStr">
        <is>
          <t>CIV4</t>
        </is>
      </c>
      <c r="F374" t="inlineStr">
        <is>
          <t>Wilfried Singo - Ivory Coast</t>
        </is>
      </c>
      <c r="G374" t="inlineStr">
        <is>
          <t>Base</t>
        </is>
      </c>
      <c r="I374" t="n">
        <v>0</v>
      </c>
    </row>
    <row r="375">
      <c r="A375">
        <f>CHOOSE(MATCH(Config!$B$2,{"PT";"EN"},0),"Seleção","Team")</f>
        <v/>
      </c>
      <c r="B375" t="inlineStr">
        <is>
          <t>Grupo E</t>
        </is>
      </c>
      <c r="C375" t="inlineStr">
        <is>
          <t>CIV</t>
        </is>
      </c>
      <c r="D375" t="inlineStr">
        <is>
          <t>Ivory Coast</t>
        </is>
      </c>
      <c r="E375" t="inlineStr">
        <is>
          <t>CIV5</t>
        </is>
      </c>
      <c r="F375" t="inlineStr">
        <is>
          <t>Odilon Kossounou - Ivory Coast</t>
        </is>
      </c>
      <c r="G375" t="inlineStr">
        <is>
          <t>Base</t>
        </is>
      </c>
      <c r="I375" t="n">
        <v>0</v>
      </c>
    </row>
    <row r="376">
      <c r="A376">
        <f>CHOOSE(MATCH(Config!$B$2,{"PT";"EN"},0),"Seleção","Team")</f>
        <v/>
      </c>
      <c r="B376" t="inlineStr">
        <is>
          <t>Grupo E</t>
        </is>
      </c>
      <c r="C376" t="inlineStr">
        <is>
          <t>CIV</t>
        </is>
      </c>
      <c r="D376" t="inlineStr">
        <is>
          <t>Ivory Coast</t>
        </is>
      </c>
      <c r="E376" t="inlineStr">
        <is>
          <t>CIV6</t>
        </is>
      </c>
      <c r="F376" t="inlineStr">
        <is>
          <t>Evan Ndicka - Ivory Coast</t>
        </is>
      </c>
      <c r="G376" t="inlineStr">
        <is>
          <t>Base</t>
        </is>
      </c>
      <c r="I376" t="n">
        <v>0</v>
      </c>
    </row>
    <row r="377">
      <c r="A377">
        <f>CHOOSE(MATCH(Config!$B$2,{"PT";"EN"},0),"Seleção","Team")</f>
        <v/>
      </c>
      <c r="B377" t="inlineStr">
        <is>
          <t>Grupo E</t>
        </is>
      </c>
      <c r="C377" t="inlineStr">
        <is>
          <t>CIV</t>
        </is>
      </c>
      <c r="D377" t="inlineStr">
        <is>
          <t>Ivory Coast</t>
        </is>
      </c>
      <c r="E377" t="inlineStr">
        <is>
          <t>CIV7</t>
        </is>
      </c>
      <c r="F377" t="inlineStr">
        <is>
          <t>Willy Boly - Ivory Coast</t>
        </is>
      </c>
      <c r="G377" t="inlineStr">
        <is>
          <t>Base</t>
        </is>
      </c>
      <c r="I377" t="n">
        <v>0</v>
      </c>
    </row>
    <row r="378">
      <c r="A378">
        <f>CHOOSE(MATCH(Config!$B$2,{"PT";"EN"},0),"Seleção","Team")</f>
        <v/>
      </c>
      <c r="B378" t="inlineStr">
        <is>
          <t>Grupo E</t>
        </is>
      </c>
      <c r="C378" t="inlineStr">
        <is>
          <t>CIV</t>
        </is>
      </c>
      <c r="D378" t="inlineStr">
        <is>
          <t>Ivory Coast</t>
        </is>
      </c>
      <c r="E378" t="inlineStr">
        <is>
          <t>CIV8</t>
        </is>
      </c>
      <c r="F378" t="inlineStr">
        <is>
          <t>Emmanuel Agbadou - Ivory Coast</t>
        </is>
      </c>
      <c r="G378" t="inlineStr">
        <is>
          <t>Base</t>
        </is>
      </c>
      <c r="I378" t="n">
        <v>0</v>
      </c>
    </row>
    <row r="379">
      <c r="A379">
        <f>CHOOSE(MATCH(Config!$B$2,{"PT";"EN"},0),"Seleção","Team")</f>
        <v/>
      </c>
      <c r="B379" t="inlineStr">
        <is>
          <t>Grupo E</t>
        </is>
      </c>
      <c r="C379" t="inlineStr">
        <is>
          <t>CIV</t>
        </is>
      </c>
      <c r="D379" t="inlineStr">
        <is>
          <t>Ivory Coast</t>
        </is>
      </c>
      <c r="E379" t="inlineStr">
        <is>
          <t>CIV9</t>
        </is>
      </c>
      <c r="F379" t="inlineStr">
        <is>
          <t>Ousmane Diomande - Ivory Coast</t>
        </is>
      </c>
      <c r="G379" t="inlineStr">
        <is>
          <t>Base</t>
        </is>
      </c>
      <c r="I379" t="n">
        <v>0</v>
      </c>
    </row>
    <row r="380">
      <c r="A380">
        <f>CHOOSE(MATCH(Config!$B$2,{"PT";"EN"},0),"Seleção","Team")</f>
        <v/>
      </c>
      <c r="B380" t="inlineStr">
        <is>
          <t>Grupo E</t>
        </is>
      </c>
      <c r="C380" t="inlineStr">
        <is>
          <t>CIV</t>
        </is>
      </c>
      <c r="D380" t="inlineStr">
        <is>
          <t>Ivory Coast</t>
        </is>
      </c>
      <c r="E380" t="inlineStr">
        <is>
          <t>CIV10</t>
        </is>
      </c>
      <c r="F380" t="inlineStr">
        <is>
          <t>Franck Kessie - Ivory Coast</t>
        </is>
      </c>
      <c r="G380" t="inlineStr">
        <is>
          <t>Base</t>
        </is>
      </c>
      <c r="I380" t="n">
        <v>0</v>
      </c>
    </row>
    <row r="381">
      <c r="A381">
        <f>CHOOSE(MATCH(Config!$B$2,{"PT";"EN"},0),"Seleção","Team")</f>
        <v/>
      </c>
      <c r="B381" t="inlineStr">
        <is>
          <t>Grupo E</t>
        </is>
      </c>
      <c r="C381" t="inlineStr">
        <is>
          <t>CIV</t>
        </is>
      </c>
      <c r="D381" t="inlineStr">
        <is>
          <t>Ivory Coast</t>
        </is>
      </c>
      <c r="E381" t="inlineStr">
        <is>
          <t>CIV11</t>
        </is>
      </c>
      <c r="F381" t="inlineStr">
        <is>
          <t>Seko Fofana - Ivory Coast</t>
        </is>
      </c>
      <c r="G381" t="inlineStr">
        <is>
          <t>Base</t>
        </is>
      </c>
      <c r="I381" t="n">
        <v>0</v>
      </c>
    </row>
    <row r="382">
      <c r="A382">
        <f>CHOOSE(MATCH(Config!$B$2,{"PT";"EN"},0),"Seleção","Team")</f>
        <v/>
      </c>
      <c r="B382" t="inlineStr">
        <is>
          <t>Grupo E</t>
        </is>
      </c>
      <c r="C382" t="inlineStr">
        <is>
          <t>CIV</t>
        </is>
      </c>
      <c r="D382" t="inlineStr">
        <is>
          <t>Ivory Coast</t>
        </is>
      </c>
      <c r="E382" t="inlineStr">
        <is>
          <t>CIV12</t>
        </is>
      </c>
      <c r="F382" t="inlineStr">
        <is>
          <t>Ibrahim Sangare - Ivory Coast</t>
        </is>
      </c>
      <c r="G382" t="inlineStr">
        <is>
          <t>Base</t>
        </is>
      </c>
      <c r="I382" t="n">
        <v>0</v>
      </c>
    </row>
    <row r="383">
      <c r="A383">
        <f>CHOOSE(MATCH(Config!$B$2,{"PT";"EN"},0),"Seleção","Team")</f>
        <v/>
      </c>
      <c r="B383" t="inlineStr">
        <is>
          <t>Grupo E</t>
        </is>
      </c>
      <c r="C383" t="inlineStr">
        <is>
          <t>CIV</t>
        </is>
      </c>
      <c r="D383" t="inlineStr">
        <is>
          <t>Ivory Coast</t>
        </is>
      </c>
      <c r="E383" t="inlineStr">
        <is>
          <t>CIV13</t>
        </is>
      </c>
      <c r="F383" t="inlineStr">
        <is>
          <t>Team Photo - Ivory Coast</t>
        </is>
      </c>
      <c r="G383" t="inlineStr">
        <is>
          <t>Base</t>
        </is>
      </c>
      <c r="I383" t="n">
        <v>0</v>
      </c>
    </row>
    <row r="384">
      <c r="A384">
        <f>CHOOSE(MATCH(Config!$B$2,{"PT";"EN"},0),"Seleção","Team")</f>
        <v/>
      </c>
      <c r="B384" t="inlineStr">
        <is>
          <t>Grupo E</t>
        </is>
      </c>
      <c r="C384" t="inlineStr">
        <is>
          <t>CIV</t>
        </is>
      </c>
      <c r="D384" t="inlineStr">
        <is>
          <t>Ivory Coast</t>
        </is>
      </c>
      <c r="E384" t="inlineStr">
        <is>
          <t>CIV14</t>
        </is>
      </c>
      <c r="F384" t="inlineStr">
        <is>
          <t>Jean-Philippe Gbamin - Ivory Coast</t>
        </is>
      </c>
      <c r="G384" t="inlineStr">
        <is>
          <t>Base</t>
        </is>
      </c>
      <c r="I384" t="n">
        <v>0</v>
      </c>
    </row>
    <row r="385">
      <c r="A385">
        <f>CHOOSE(MATCH(Config!$B$2,{"PT";"EN"},0),"Seleção","Team")</f>
        <v/>
      </c>
      <c r="B385" t="inlineStr">
        <is>
          <t>Grupo E</t>
        </is>
      </c>
      <c r="C385" t="inlineStr">
        <is>
          <t>CIV</t>
        </is>
      </c>
      <c r="D385" t="inlineStr">
        <is>
          <t>Ivory Coast</t>
        </is>
      </c>
      <c r="E385" t="inlineStr">
        <is>
          <t>CIV15</t>
        </is>
      </c>
      <c r="F385" t="inlineStr">
        <is>
          <t>Amad Diallo - Ivory Coast</t>
        </is>
      </c>
      <c r="G385" t="inlineStr">
        <is>
          <t>Base</t>
        </is>
      </c>
      <c r="I385" t="n">
        <v>0</v>
      </c>
    </row>
    <row r="386">
      <c r="A386">
        <f>CHOOSE(MATCH(Config!$B$2,{"PT";"EN"},0),"Seleção","Team")</f>
        <v/>
      </c>
      <c r="B386" t="inlineStr">
        <is>
          <t>Grupo E</t>
        </is>
      </c>
      <c r="C386" t="inlineStr">
        <is>
          <t>CIV</t>
        </is>
      </c>
      <c r="D386" t="inlineStr">
        <is>
          <t>Ivory Coast</t>
        </is>
      </c>
      <c r="E386" t="inlineStr">
        <is>
          <t>CIV16</t>
        </is>
      </c>
      <c r="F386" t="inlineStr">
        <is>
          <t>Sébastien Haller - Ivory Coast</t>
        </is>
      </c>
      <c r="G386" t="inlineStr">
        <is>
          <t>Base</t>
        </is>
      </c>
      <c r="I386" t="n">
        <v>0</v>
      </c>
    </row>
    <row r="387">
      <c r="A387">
        <f>CHOOSE(MATCH(Config!$B$2,{"PT";"EN"},0),"Seleção","Team")</f>
        <v/>
      </c>
      <c r="B387" t="inlineStr">
        <is>
          <t>Grupo E</t>
        </is>
      </c>
      <c r="C387" t="inlineStr">
        <is>
          <t>CIV</t>
        </is>
      </c>
      <c r="D387" t="inlineStr">
        <is>
          <t>Ivory Coast</t>
        </is>
      </c>
      <c r="E387" t="inlineStr">
        <is>
          <t>CIV17</t>
        </is>
      </c>
      <c r="F387" t="inlineStr">
        <is>
          <t>Simon Adingra - Ivory Coast</t>
        </is>
      </c>
      <c r="G387" t="inlineStr">
        <is>
          <t>Base</t>
        </is>
      </c>
      <c r="I387" t="n">
        <v>0</v>
      </c>
    </row>
    <row r="388">
      <c r="A388">
        <f>CHOOSE(MATCH(Config!$B$2,{"PT";"EN"},0),"Seleção","Team")</f>
        <v/>
      </c>
      <c r="B388" t="inlineStr">
        <is>
          <t>Grupo E</t>
        </is>
      </c>
      <c r="C388" t="inlineStr">
        <is>
          <t>CIV</t>
        </is>
      </c>
      <c r="D388" t="inlineStr">
        <is>
          <t>Ivory Coast</t>
        </is>
      </c>
      <c r="E388" t="inlineStr">
        <is>
          <t>CIV18</t>
        </is>
      </c>
      <c r="F388" t="inlineStr">
        <is>
          <t>Yan Diomande - Ivory Coast</t>
        </is>
      </c>
      <c r="G388" t="inlineStr">
        <is>
          <t>Base</t>
        </is>
      </c>
      <c r="I388" t="n">
        <v>0</v>
      </c>
    </row>
    <row r="389">
      <c r="A389">
        <f>CHOOSE(MATCH(Config!$B$2,{"PT";"EN"},0),"Seleção","Team")</f>
        <v/>
      </c>
      <c r="B389" t="inlineStr">
        <is>
          <t>Grupo E</t>
        </is>
      </c>
      <c r="C389" t="inlineStr">
        <is>
          <t>CIV</t>
        </is>
      </c>
      <c r="D389" t="inlineStr">
        <is>
          <t>Ivory Coast</t>
        </is>
      </c>
      <c r="E389" t="inlineStr">
        <is>
          <t>CIV19</t>
        </is>
      </c>
      <c r="F389" t="inlineStr">
        <is>
          <t>Evann Guessand - Ivory Coast</t>
        </is>
      </c>
      <c r="G389" t="inlineStr">
        <is>
          <t>Base</t>
        </is>
      </c>
      <c r="I389" t="n">
        <v>0</v>
      </c>
    </row>
    <row r="390">
      <c r="A390">
        <f>CHOOSE(MATCH(Config!$B$2,{"PT";"EN"},0),"Seleção","Team")</f>
        <v/>
      </c>
      <c r="B390" t="inlineStr">
        <is>
          <t>Grupo E</t>
        </is>
      </c>
      <c r="C390" t="inlineStr">
        <is>
          <t>CIV</t>
        </is>
      </c>
      <c r="D390" t="inlineStr">
        <is>
          <t>Ivory Coast</t>
        </is>
      </c>
      <c r="E390" t="inlineStr">
        <is>
          <t>CIV20</t>
        </is>
      </c>
      <c r="F390" t="inlineStr">
        <is>
          <t>Oumar Diakite - Ivory Coast</t>
        </is>
      </c>
      <c r="G390" t="inlineStr">
        <is>
          <t>Base</t>
        </is>
      </c>
      <c r="I390" t="n">
        <v>0</v>
      </c>
    </row>
    <row r="391">
      <c r="A391">
        <f>CHOOSE(MATCH(Config!$B$2,{"PT";"EN"},0),"Seleção","Team")</f>
        <v/>
      </c>
      <c r="B391" t="inlineStr">
        <is>
          <t>Grupo E</t>
        </is>
      </c>
      <c r="C391" t="inlineStr">
        <is>
          <t>ECU</t>
        </is>
      </c>
      <c r="D391" t="inlineStr">
        <is>
          <t>Ecuador</t>
        </is>
      </c>
      <c r="E391" t="inlineStr">
        <is>
          <t>ECU1</t>
        </is>
      </c>
      <c r="F391" t="inlineStr">
        <is>
          <t>Team Logo - Ecuador FOIL</t>
        </is>
      </c>
      <c r="G391" t="inlineStr">
        <is>
          <t>FOIL</t>
        </is>
      </c>
      <c r="I391" t="n">
        <v>0</v>
      </c>
    </row>
    <row r="392">
      <c r="A392">
        <f>CHOOSE(MATCH(Config!$B$2,{"PT";"EN"},0),"Seleção","Team")</f>
        <v/>
      </c>
      <c r="B392" t="inlineStr">
        <is>
          <t>Grupo E</t>
        </is>
      </c>
      <c r="C392" t="inlineStr">
        <is>
          <t>ECU</t>
        </is>
      </c>
      <c r="D392" t="inlineStr">
        <is>
          <t>Ecuador</t>
        </is>
      </c>
      <c r="E392" t="inlineStr">
        <is>
          <t>ECU2</t>
        </is>
      </c>
      <c r="F392" t="inlineStr">
        <is>
          <t>Hernán Galíndez - Ecuador</t>
        </is>
      </c>
      <c r="G392" t="inlineStr">
        <is>
          <t>Base</t>
        </is>
      </c>
      <c r="I392" t="n">
        <v>0</v>
      </c>
    </row>
    <row r="393">
      <c r="A393">
        <f>CHOOSE(MATCH(Config!$B$2,{"PT";"EN"},0),"Seleção","Team")</f>
        <v/>
      </c>
      <c r="B393" t="inlineStr">
        <is>
          <t>Grupo E</t>
        </is>
      </c>
      <c r="C393" t="inlineStr">
        <is>
          <t>ECU</t>
        </is>
      </c>
      <c r="D393" t="inlineStr">
        <is>
          <t>Ecuador</t>
        </is>
      </c>
      <c r="E393" t="inlineStr">
        <is>
          <t>ECU3</t>
        </is>
      </c>
      <c r="F393" t="inlineStr">
        <is>
          <t>Gonzalo Valle - Ecuador</t>
        </is>
      </c>
      <c r="G393" t="inlineStr">
        <is>
          <t>Base</t>
        </is>
      </c>
      <c r="I393" t="n">
        <v>0</v>
      </c>
    </row>
    <row r="394">
      <c r="A394">
        <f>CHOOSE(MATCH(Config!$B$2,{"PT";"EN"},0),"Seleção","Team")</f>
        <v/>
      </c>
      <c r="B394" t="inlineStr">
        <is>
          <t>Grupo E</t>
        </is>
      </c>
      <c r="C394" t="inlineStr">
        <is>
          <t>ECU</t>
        </is>
      </c>
      <c r="D394" t="inlineStr">
        <is>
          <t>Ecuador</t>
        </is>
      </c>
      <c r="E394" t="inlineStr">
        <is>
          <t>ECU4</t>
        </is>
      </c>
      <c r="F394" t="inlineStr">
        <is>
          <t>Piero Hincapié - Ecuador</t>
        </is>
      </c>
      <c r="G394" t="inlineStr">
        <is>
          <t>Base</t>
        </is>
      </c>
      <c r="I394" t="n">
        <v>0</v>
      </c>
    </row>
    <row r="395">
      <c r="A395">
        <f>CHOOSE(MATCH(Config!$B$2,{"PT";"EN"},0),"Seleção","Team")</f>
        <v/>
      </c>
      <c r="B395" t="inlineStr">
        <is>
          <t>Grupo E</t>
        </is>
      </c>
      <c r="C395" t="inlineStr">
        <is>
          <t>ECU</t>
        </is>
      </c>
      <c r="D395" t="inlineStr">
        <is>
          <t>Ecuador</t>
        </is>
      </c>
      <c r="E395" t="inlineStr">
        <is>
          <t>ECU5</t>
        </is>
      </c>
      <c r="F395" t="inlineStr">
        <is>
          <t>Pervis Estupiñán - Ecuador</t>
        </is>
      </c>
      <c r="G395" t="inlineStr">
        <is>
          <t>Base</t>
        </is>
      </c>
      <c r="I395" t="n">
        <v>0</v>
      </c>
    </row>
    <row r="396">
      <c r="A396">
        <f>CHOOSE(MATCH(Config!$B$2,{"PT";"EN"},0),"Seleção","Team")</f>
        <v/>
      </c>
      <c r="B396" t="inlineStr">
        <is>
          <t>Grupo E</t>
        </is>
      </c>
      <c r="C396" t="inlineStr">
        <is>
          <t>ECU</t>
        </is>
      </c>
      <c r="D396" t="inlineStr">
        <is>
          <t>Ecuador</t>
        </is>
      </c>
      <c r="E396" t="inlineStr">
        <is>
          <t>ECU6</t>
        </is>
      </c>
      <c r="F396" t="inlineStr">
        <is>
          <t>Willian Pacho - Ecuador</t>
        </is>
      </c>
      <c r="G396" t="inlineStr">
        <is>
          <t>Base</t>
        </is>
      </c>
      <c r="I396" t="n">
        <v>0</v>
      </c>
    </row>
    <row r="397">
      <c r="A397">
        <f>CHOOSE(MATCH(Config!$B$2,{"PT";"EN"},0),"Seleção","Team")</f>
        <v/>
      </c>
      <c r="B397" t="inlineStr">
        <is>
          <t>Grupo E</t>
        </is>
      </c>
      <c r="C397" t="inlineStr">
        <is>
          <t>ECU</t>
        </is>
      </c>
      <c r="D397" t="inlineStr">
        <is>
          <t>Ecuador</t>
        </is>
      </c>
      <c r="E397" t="inlineStr">
        <is>
          <t>ECU7</t>
        </is>
      </c>
      <c r="F397" t="inlineStr">
        <is>
          <t>Ángelo Preciado - Ecuador</t>
        </is>
      </c>
      <c r="G397" t="inlineStr">
        <is>
          <t>Base</t>
        </is>
      </c>
      <c r="I397" t="n">
        <v>0</v>
      </c>
    </row>
    <row r="398">
      <c r="A398">
        <f>CHOOSE(MATCH(Config!$B$2,{"PT";"EN"},0),"Seleção","Team")</f>
        <v/>
      </c>
      <c r="B398" t="inlineStr">
        <is>
          <t>Grupo E</t>
        </is>
      </c>
      <c r="C398" t="inlineStr">
        <is>
          <t>ECU</t>
        </is>
      </c>
      <c r="D398" t="inlineStr">
        <is>
          <t>Ecuador</t>
        </is>
      </c>
      <c r="E398" t="inlineStr">
        <is>
          <t>ECU8</t>
        </is>
      </c>
      <c r="F398" t="inlineStr">
        <is>
          <t>Joel Ordóñez - Ecuador</t>
        </is>
      </c>
      <c r="G398" t="inlineStr">
        <is>
          <t>Base</t>
        </is>
      </c>
      <c r="I398" t="n">
        <v>0</v>
      </c>
    </row>
    <row r="399">
      <c r="A399">
        <f>CHOOSE(MATCH(Config!$B$2,{"PT";"EN"},0),"Seleção","Team")</f>
        <v/>
      </c>
      <c r="B399" t="inlineStr">
        <is>
          <t>Grupo E</t>
        </is>
      </c>
      <c r="C399" t="inlineStr">
        <is>
          <t>ECU</t>
        </is>
      </c>
      <c r="D399" t="inlineStr">
        <is>
          <t>Ecuador</t>
        </is>
      </c>
      <c r="E399" t="inlineStr">
        <is>
          <t>ECU9</t>
        </is>
      </c>
      <c r="F399" t="inlineStr">
        <is>
          <t>Moises Caicedo - Ecuador</t>
        </is>
      </c>
      <c r="G399" t="inlineStr">
        <is>
          <t>Base</t>
        </is>
      </c>
      <c r="I399" t="n">
        <v>0</v>
      </c>
    </row>
    <row r="400">
      <c r="A400">
        <f>CHOOSE(MATCH(Config!$B$2,{"PT";"EN"},0),"Seleção","Team")</f>
        <v/>
      </c>
      <c r="B400" t="inlineStr">
        <is>
          <t>Grupo E</t>
        </is>
      </c>
      <c r="C400" t="inlineStr">
        <is>
          <t>ECU</t>
        </is>
      </c>
      <c r="D400" t="inlineStr">
        <is>
          <t>Ecuador</t>
        </is>
      </c>
      <c r="E400" t="inlineStr">
        <is>
          <t>ECU10</t>
        </is>
      </c>
      <c r="F400" t="inlineStr">
        <is>
          <t>Alan Franco - Ecuador</t>
        </is>
      </c>
      <c r="G400" t="inlineStr">
        <is>
          <t>Base</t>
        </is>
      </c>
      <c r="I400" t="n">
        <v>0</v>
      </c>
    </row>
    <row r="401">
      <c r="A401">
        <f>CHOOSE(MATCH(Config!$B$2,{"PT";"EN"},0),"Seleção","Team")</f>
        <v/>
      </c>
      <c r="B401" t="inlineStr">
        <is>
          <t>Grupo E</t>
        </is>
      </c>
      <c r="C401" t="inlineStr">
        <is>
          <t>ECU</t>
        </is>
      </c>
      <c r="D401" t="inlineStr">
        <is>
          <t>Ecuador</t>
        </is>
      </c>
      <c r="E401" t="inlineStr">
        <is>
          <t>ECU11</t>
        </is>
      </c>
      <c r="F401" t="inlineStr">
        <is>
          <t>Kendry Paez - Ecuador</t>
        </is>
      </c>
      <c r="G401" t="inlineStr">
        <is>
          <t>Base</t>
        </is>
      </c>
      <c r="I401" t="n">
        <v>0</v>
      </c>
    </row>
    <row r="402">
      <c r="A402">
        <f>CHOOSE(MATCH(Config!$B$2,{"PT";"EN"},0),"Seleção","Team")</f>
        <v/>
      </c>
      <c r="B402" t="inlineStr">
        <is>
          <t>Grupo E</t>
        </is>
      </c>
      <c r="C402" t="inlineStr">
        <is>
          <t>ECU</t>
        </is>
      </c>
      <c r="D402" t="inlineStr">
        <is>
          <t>Ecuador</t>
        </is>
      </c>
      <c r="E402" t="inlineStr">
        <is>
          <t>ECU12</t>
        </is>
      </c>
      <c r="F402" t="inlineStr">
        <is>
          <t>Pedro Vite - Ecuador</t>
        </is>
      </c>
      <c r="G402" t="inlineStr">
        <is>
          <t>Base</t>
        </is>
      </c>
      <c r="I402" t="n">
        <v>0</v>
      </c>
    </row>
    <row r="403">
      <c r="A403">
        <f>CHOOSE(MATCH(Config!$B$2,{"PT";"EN"},0),"Seleção","Team")</f>
        <v/>
      </c>
      <c r="B403" t="inlineStr">
        <is>
          <t>Grupo E</t>
        </is>
      </c>
      <c r="C403" t="inlineStr">
        <is>
          <t>ECU</t>
        </is>
      </c>
      <c r="D403" t="inlineStr">
        <is>
          <t>Ecuador</t>
        </is>
      </c>
      <c r="E403" t="inlineStr">
        <is>
          <t>ECU13</t>
        </is>
      </c>
      <c r="F403" t="inlineStr">
        <is>
          <t>Team Photo - Ecuador</t>
        </is>
      </c>
      <c r="G403" t="inlineStr">
        <is>
          <t>Base</t>
        </is>
      </c>
      <c r="I403" t="n">
        <v>0</v>
      </c>
    </row>
    <row r="404">
      <c r="A404">
        <f>CHOOSE(MATCH(Config!$B$2,{"PT";"EN"},0),"Seleção","Team")</f>
        <v/>
      </c>
      <c r="B404" t="inlineStr">
        <is>
          <t>Grupo E</t>
        </is>
      </c>
      <c r="C404" t="inlineStr">
        <is>
          <t>ECU</t>
        </is>
      </c>
      <c r="D404" t="inlineStr">
        <is>
          <t>Ecuador</t>
        </is>
      </c>
      <c r="E404" t="inlineStr">
        <is>
          <t>ECU14</t>
        </is>
      </c>
      <c r="F404" t="inlineStr">
        <is>
          <t>John Veboah - Ecuador</t>
        </is>
      </c>
      <c r="G404" t="inlineStr">
        <is>
          <t>Base</t>
        </is>
      </c>
      <c r="I404" t="n">
        <v>0</v>
      </c>
    </row>
    <row r="405">
      <c r="A405">
        <f>CHOOSE(MATCH(Config!$B$2,{"PT";"EN"},0),"Seleção","Team")</f>
        <v/>
      </c>
      <c r="B405" t="inlineStr">
        <is>
          <t>Grupo E</t>
        </is>
      </c>
      <c r="C405" t="inlineStr">
        <is>
          <t>ECU</t>
        </is>
      </c>
      <c r="D405" t="inlineStr">
        <is>
          <t>Ecuador</t>
        </is>
      </c>
      <c r="E405" t="inlineStr">
        <is>
          <t>ECU15</t>
        </is>
      </c>
      <c r="F405" t="inlineStr">
        <is>
          <t>Leonardo Campana - Ecuador</t>
        </is>
      </c>
      <c r="G405" t="inlineStr">
        <is>
          <t>Base</t>
        </is>
      </c>
      <c r="I405" t="n">
        <v>0</v>
      </c>
    </row>
    <row r="406">
      <c r="A406">
        <f>CHOOSE(MATCH(Config!$B$2,{"PT";"EN"},0),"Seleção","Team")</f>
        <v/>
      </c>
      <c r="B406" t="inlineStr">
        <is>
          <t>Grupo E</t>
        </is>
      </c>
      <c r="C406" t="inlineStr">
        <is>
          <t>ECU</t>
        </is>
      </c>
      <c r="D406" t="inlineStr">
        <is>
          <t>Ecuador</t>
        </is>
      </c>
      <c r="E406" t="inlineStr">
        <is>
          <t>ECU16</t>
        </is>
      </c>
      <c r="F406" t="inlineStr">
        <is>
          <t>Gonzalo Plata - Ecuador</t>
        </is>
      </c>
      <c r="G406" t="inlineStr">
        <is>
          <t>Base</t>
        </is>
      </c>
      <c r="I406" t="n">
        <v>0</v>
      </c>
    </row>
    <row r="407">
      <c r="A407">
        <f>CHOOSE(MATCH(Config!$B$2,{"PT";"EN"},0),"Seleção","Team")</f>
        <v/>
      </c>
      <c r="B407" t="inlineStr">
        <is>
          <t>Grupo E</t>
        </is>
      </c>
      <c r="C407" t="inlineStr">
        <is>
          <t>ECU</t>
        </is>
      </c>
      <c r="D407" t="inlineStr">
        <is>
          <t>Ecuador</t>
        </is>
      </c>
      <c r="E407" t="inlineStr">
        <is>
          <t>ECU17</t>
        </is>
      </c>
      <c r="F407" t="inlineStr">
        <is>
          <t>Nilson Angulo - Ecuador</t>
        </is>
      </c>
      <c r="G407" t="inlineStr">
        <is>
          <t>Base</t>
        </is>
      </c>
      <c r="I407" t="n">
        <v>0</v>
      </c>
    </row>
    <row r="408">
      <c r="A408">
        <f>CHOOSE(MATCH(Config!$B$2,{"PT";"EN"},0),"Seleção","Team")</f>
        <v/>
      </c>
      <c r="B408" t="inlineStr">
        <is>
          <t>Grupo E</t>
        </is>
      </c>
      <c r="C408" t="inlineStr">
        <is>
          <t>ECU</t>
        </is>
      </c>
      <c r="D408" t="inlineStr">
        <is>
          <t>Ecuador</t>
        </is>
      </c>
      <c r="E408" t="inlineStr">
        <is>
          <t>ECU18</t>
        </is>
      </c>
      <c r="F408" t="inlineStr">
        <is>
          <t>Alan Minda - Ecuador</t>
        </is>
      </c>
      <c r="G408" t="inlineStr">
        <is>
          <t>Base</t>
        </is>
      </c>
      <c r="I408" t="n">
        <v>0</v>
      </c>
    </row>
    <row r="409">
      <c r="A409">
        <f>CHOOSE(MATCH(Config!$B$2,{"PT";"EN"},0),"Seleção","Team")</f>
        <v/>
      </c>
      <c r="B409" t="inlineStr">
        <is>
          <t>Grupo E</t>
        </is>
      </c>
      <c r="C409" t="inlineStr">
        <is>
          <t>ECU</t>
        </is>
      </c>
      <c r="D409" t="inlineStr">
        <is>
          <t>Ecuador</t>
        </is>
      </c>
      <c r="E409" t="inlineStr">
        <is>
          <t>ECU19</t>
        </is>
      </c>
      <c r="F409" t="inlineStr">
        <is>
          <t>Kevin Rodriguez - Ecuador</t>
        </is>
      </c>
      <c r="G409" t="inlineStr">
        <is>
          <t>Base</t>
        </is>
      </c>
      <c r="I409" t="n">
        <v>0</v>
      </c>
    </row>
    <row r="410">
      <c r="A410">
        <f>CHOOSE(MATCH(Config!$B$2,{"PT";"EN"},0),"Seleção","Team")</f>
        <v/>
      </c>
      <c r="B410" t="inlineStr">
        <is>
          <t>Grupo E</t>
        </is>
      </c>
      <c r="C410" t="inlineStr">
        <is>
          <t>ECU</t>
        </is>
      </c>
      <c r="D410" t="inlineStr">
        <is>
          <t>Ecuador</t>
        </is>
      </c>
      <c r="E410" t="inlineStr">
        <is>
          <t>ECU20</t>
        </is>
      </c>
      <c r="F410" t="inlineStr">
        <is>
          <t>Enner Valencia - Ecuador</t>
        </is>
      </c>
      <c r="G410" t="inlineStr">
        <is>
          <t>Base</t>
        </is>
      </c>
      <c r="I410" t="n">
        <v>0</v>
      </c>
    </row>
    <row r="411">
      <c r="A411">
        <f>CHOOSE(MATCH(Config!$B$2,{"PT";"EN"},0),"Seleção","Team")</f>
        <v/>
      </c>
      <c r="B411" t="inlineStr">
        <is>
          <t>Grupo F</t>
        </is>
      </c>
      <c r="C411" t="inlineStr">
        <is>
          <t>NED</t>
        </is>
      </c>
      <c r="D411" t="inlineStr">
        <is>
          <t>Netherlands</t>
        </is>
      </c>
      <c r="E411" t="inlineStr">
        <is>
          <t>NED1</t>
        </is>
      </c>
      <c r="F411" t="inlineStr">
        <is>
          <t>Team Logo - Netherlands FOIL</t>
        </is>
      </c>
      <c r="G411" t="inlineStr">
        <is>
          <t>FOIL</t>
        </is>
      </c>
      <c r="I411" t="n">
        <v>0</v>
      </c>
    </row>
    <row r="412">
      <c r="A412">
        <f>CHOOSE(MATCH(Config!$B$2,{"PT";"EN"},0),"Seleção","Team")</f>
        <v/>
      </c>
      <c r="B412" t="inlineStr">
        <is>
          <t>Grupo F</t>
        </is>
      </c>
      <c r="C412" t="inlineStr">
        <is>
          <t>NED</t>
        </is>
      </c>
      <c r="D412" t="inlineStr">
        <is>
          <t>Netherlands</t>
        </is>
      </c>
      <c r="E412" t="inlineStr">
        <is>
          <t>NED2</t>
        </is>
      </c>
      <c r="F412" t="inlineStr">
        <is>
          <t>Bart Verbruggen - Netherlands</t>
        </is>
      </c>
      <c r="G412" t="inlineStr">
        <is>
          <t>Base</t>
        </is>
      </c>
      <c r="I412" t="n">
        <v>0</v>
      </c>
    </row>
    <row r="413">
      <c r="A413">
        <f>CHOOSE(MATCH(Config!$B$2,{"PT";"EN"},0),"Seleção","Team")</f>
        <v/>
      </c>
      <c r="B413" t="inlineStr">
        <is>
          <t>Grupo F</t>
        </is>
      </c>
      <c r="C413" t="inlineStr">
        <is>
          <t>NED</t>
        </is>
      </c>
      <c r="D413" t="inlineStr">
        <is>
          <t>Netherlands</t>
        </is>
      </c>
      <c r="E413" t="inlineStr">
        <is>
          <t>NED3</t>
        </is>
      </c>
      <c r="F413" t="inlineStr">
        <is>
          <t>Virgil van Dijk - Netherlands</t>
        </is>
      </c>
      <c r="G413" t="inlineStr">
        <is>
          <t>Base</t>
        </is>
      </c>
      <c r="I413" t="n">
        <v>0</v>
      </c>
    </row>
    <row r="414">
      <c r="A414">
        <f>CHOOSE(MATCH(Config!$B$2,{"PT";"EN"},0),"Seleção","Team")</f>
        <v/>
      </c>
      <c r="B414" t="inlineStr">
        <is>
          <t>Grupo F</t>
        </is>
      </c>
      <c r="C414" t="inlineStr">
        <is>
          <t>NED</t>
        </is>
      </c>
      <c r="D414" t="inlineStr">
        <is>
          <t>Netherlands</t>
        </is>
      </c>
      <c r="E414" t="inlineStr">
        <is>
          <t>NED4</t>
        </is>
      </c>
      <c r="F414" t="inlineStr">
        <is>
          <t>Micky van de Ven - Netherlands</t>
        </is>
      </c>
      <c r="G414" t="inlineStr">
        <is>
          <t>Base</t>
        </is>
      </c>
      <c r="I414" t="n">
        <v>0</v>
      </c>
    </row>
    <row r="415">
      <c r="A415">
        <f>CHOOSE(MATCH(Config!$B$2,{"PT";"EN"},0),"Seleção","Team")</f>
        <v/>
      </c>
      <c r="B415" t="inlineStr">
        <is>
          <t>Grupo F</t>
        </is>
      </c>
      <c r="C415" t="inlineStr">
        <is>
          <t>NED</t>
        </is>
      </c>
      <c r="D415" t="inlineStr">
        <is>
          <t>Netherlands</t>
        </is>
      </c>
      <c r="E415" t="inlineStr">
        <is>
          <t>NED5</t>
        </is>
      </c>
      <c r="F415" t="inlineStr">
        <is>
          <t>Jurrien Timber - Netherlands</t>
        </is>
      </c>
      <c r="G415" t="inlineStr">
        <is>
          <t>Base</t>
        </is>
      </c>
      <c r="I415" t="n">
        <v>0</v>
      </c>
    </row>
    <row r="416">
      <c r="A416">
        <f>CHOOSE(MATCH(Config!$B$2,{"PT";"EN"},0),"Seleção","Team")</f>
        <v/>
      </c>
      <c r="B416" t="inlineStr">
        <is>
          <t>Grupo F</t>
        </is>
      </c>
      <c r="C416" t="inlineStr">
        <is>
          <t>NED</t>
        </is>
      </c>
      <c r="D416" t="inlineStr">
        <is>
          <t>Netherlands</t>
        </is>
      </c>
      <c r="E416" t="inlineStr">
        <is>
          <t>NED6</t>
        </is>
      </c>
      <c r="F416" t="inlineStr">
        <is>
          <t>Denzel Dumfries - Netherlands</t>
        </is>
      </c>
      <c r="G416" t="inlineStr">
        <is>
          <t>Base</t>
        </is>
      </c>
      <c r="I416" t="n">
        <v>0</v>
      </c>
    </row>
    <row r="417">
      <c r="A417">
        <f>CHOOSE(MATCH(Config!$B$2,{"PT";"EN"},0),"Seleção","Team")</f>
        <v/>
      </c>
      <c r="B417" t="inlineStr">
        <is>
          <t>Grupo F</t>
        </is>
      </c>
      <c r="C417" t="inlineStr">
        <is>
          <t>NED</t>
        </is>
      </c>
      <c r="D417" t="inlineStr">
        <is>
          <t>Netherlands</t>
        </is>
      </c>
      <c r="E417" t="inlineStr">
        <is>
          <t>NED7</t>
        </is>
      </c>
      <c r="F417" t="inlineStr">
        <is>
          <t>Nathan Aké - Netherlands</t>
        </is>
      </c>
      <c r="G417" t="inlineStr">
        <is>
          <t>Base</t>
        </is>
      </c>
      <c r="I417" t="n">
        <v>0</v>
      </c>
    </row>
    <row r="418">
      <c r="A418">
        <f>CHOOSE(MATCH(Config!$B$2,{"PT";"EN"},0),"Seleção","Team")</f>
        <v/>
      </c>
      <c r="B418" t="inlineStr">
        <is>
          <t>Grupo F</t>
        </is>
      </c>
      <c r="C418" t="inlineStr">
        <is>
          <t>NED</t>
        </is>
      </c>
      <c r="D418" t="inlineStr">
        <is>
          <t>Netherlands</t>
        </is>
      </c>
      <c r="E418" t="inlineStr">
        <is>
          <t>NED8</t>
        </is>
      </c>
      <c r="F418" t="inlineStr">
        <is>
          <t>Jeremie Frimpong - Netherlands</t>
        </is>
      </c>
      <c r="G418" t="inlineStr">
        <is>
          <t>Base</t>
        </is>
      </c>
      <c r="I418" t="n">
        <v>0</v>
      </c>
    </row>
    <row r="419">
      <c r="A419">
        <f>CHOOSE(MATCH(Config!$B$2,{"PT";"EN"},0),"Seleção","Team")</f>
        <v/>
      </c>
      <c r="B419" t="inlineStr">
        <is>
          <t>Grupo F</t>
        </is>
      </c>
      <c r="C419" t="inlineStr">
        <is>
          <t>NED</t>
        </is>
      </c>
      <c r="D419" t="inlineStr">
        <is>
          <t>Netherlands</t>
        </is>
      </c>
      <c r="E419" t="inlineStr">
        <is>
          <t>NED9</t>
        </is>
      </c>
      <c r="F419" t="inlineStr">
        <is>
          <t>Jan Paul van Hecke - Netherlands</t>
        </is>
      </c>
      <c r="G419" t="inlineStr">
        <is>
          <t>Base</t>
        </is>
      </c>
      <c r="I419" t="n">
        <v>0</v>
      </c>
    </row>
    <row r="420">
      <c r="A420">
        <f>CHOOSE(MATCH(Config!$B$2,{"PT";"EN"},0),"Seleção","Team")</f>
        <v/>
      </c>
      <c r="B420" t="inlineStr">
        <is>
          <t>Grupo F</t>
        </is>
      </c>
      <c r="C420" t="inlineStr">
        <is>
          <t>NED</t>
        </is>
      </c>
      <c r="D420" t="inlineStr">
        <is>
          <t>Netherlands</t>
        </is>
      </c>
      <c r="E420" t="inlineStr">
        <is>
          <t>NED10</t>
        </is>
      </c>
      <c r="F420" t="inlineStr">
        <is>
          <t>Tijjani Reijnders - Netherlands</t>
        </is>
      </c>
      <c r="G420" t="inlineStr">
        <is>
          <t>Base</t>
        </is>
      </c>
      <c r="I420" t="n">
        <v>0</v>
      </c>
    </row>
    <row r="421">
      <c r="A421">
        <f>CHOOSE(MATCH(Config!$B$2,{"PT";"EN"},0),"Seleção","Team")</f>
        <v/>
      </c>
      <c r="B421" t="inlineStr">
        <is>
          <t>Grupo F</t>
        </is>
      </c>
      <c r="C421" t="inlineStr">
        <is>
          <t>NED</t>
        </is>
      </c>
      <c r="D421" t="inlineStr">
        <is>
          <t>Netherlands</t>
        </is>
      </c>
      <c r="E421" t="inlineStr">
        <is>
          <t>NED11</t>
        </is>
      </c>
      <c r="F421" t="inlineStr">
        <is>
          <t>Ryan Gravenberch - Netherlands</t>
        </is>
      </c>
      <c r="G421" t="inlineStr">
        <is>
          <t>Base</t>
        </is>
      </c>
      <c r="I421" t="n">
        <v>0</v>
      </c>
    </row>
    <row r="422">
      <c r="A422">
        <f>CHOOSE(MATCH(Config!$B$2,{"PT";"EN"},0),"Seleção","Team")</f>
        <v/>
      </c>
      <c r="B422" t="inlineStr">
        <is>
          <t>Grupo F</t>
        </is>
      </c>
      <c r="C422" t="inlineStr">
        <is>
          <t>NED</t>
        </is>
      </c>
      <c r="D422" t="inlineStr">
        <is>
          <t>Netherlands</t>
        </is>
      </c>
      <c r="E422" t="inlineStr">
        <is>
          <t>NED12</t>
        </is>
      </c>
      <c r="F422" t="inlineStr">
        <is>
          <t>Teun Koopmeiners - Netherlands</t>
        </is>
      </c>
      <c r="G422" t="inlineStr">
        <is>
          <t>Base</t>
        </is>
      </c>
      <c r="I422" t="n">
        <v>0</v>
      </c>
    </row>
    <row r="423">
      <c r="A423">
        <f>CHOOSE(MATCH(Config!$B$2,{"PT";"EN"},0),"Seleção","Team")</f>
        <v/>
      </c>
      <c r="B423" t="inlineStr">
        <is>
          <t>Grupo F</t>
        </is>
      </c>
      <c r="C423" t="inlineStr">
        <is>
          <t>NED</t>
        </is>
      </c>
      <c r="D423" t="inlineStr">
        <is>
          <t>Netherlands</t>
        </is>
      </c>
      <c r="E423" t="inlineStr">
        <is>
          <t>NED13</t>
        </is>
      </c>
      <c r="F423" t="inlineStr">
        <is>
          <t>Team Photo - Netherlands</t>
        </is>
      </c>
      <c r="G423" t="inlineStr">
        <is>
          <t>Base</t>
        </is>
      </c>
      <c r="I423" t="n">
        <v>0</v>
      </c>
    </row>
    <row r="424">
      <c r="A424">
        <f>CHOOSE(MATCH(Config!$B$2,{"PT";"EN"},0),"Seleção","Team")</f>
        <v/>
      </c>
      <c r="B424" t="inlineStr">
        <is>
          <t>Grupo F</t>
        </is>
      </c>
      <c r="C424" t="inlineStr">
        <is>
          <t>NED</t>
        </is>
      </c>
      <c r="D424" t="inlineStr">
        <is>
          <t>Netherlands</t>
        </is>
      </c>
      <c r="E424" t="inlineStr">
        <is>
          <t>NED14</t>
        </is>
      </c>
      <c r="F424" t="inlineStr">
        <is>
          <t>Frenkie de Jong - Netherlands</t>
        </is>
      </c>
      <c r="G424" t="inlineStr">
        <is>
          <t>Base</t>
        </is>
      </c>
      <c r="I424" t="n">
        <v>0</v>
      </c>
    </row>
    <row r="425">
      <c r="A425">
        <f>CHOOSE(MATCH(Config!$B$2,{"PT";"EN"},0),"Seleção","Team")</f>
        <v/>
      </c>
      <c r="B425" t="inlineStr">
        <is>
          <t>Grupo F</t>
        </is>
      </c>
      <c r="C425" t="inlineStr">
        <is>
          <t>NED</t>
        </is>
      </c>
      <c r="D425" t="inlineStr">
        <is>
          <t>Netherlands</t>
        </is>
      </c>
      <c r="E425" t="inlineStr">
        <is>
          <t>NED15</t>
        </is>
      </c>
      <c r="F425" t="inlineStr">
        <is>
          <t>Xavi Simons - Netherlands</t>
        </is>
      </c>
      <c r="G425" t="inlineStr">
        <is>
          <t>Base</t>
        </is>
      </c>
      <c r="I425" t="n">
        <v>0</v>
      </c>
    </row>
    <row r="426">
      <c r="A426">
        <f>CHOOSE(MATCH(Config!$B$2,{"PT";"EN"},0),"Seleção","Team")</f>
        <v/>
      </c>
      <c r="B426" t="inlineStr">
        <is>
          <t>Grupo F</t>
        </is>
      </c>
      <c r="C426" t="inlineStr">
        <is>
          <t>NED</t>
        </is>
      </c>
      <c r="D426" t="inlineStr">
        <is>
          <t>Netherlands</t>
        </is>
      </c>
      <c r="E426" t="inlineStr">
        <is>
          <t>NED16</t>
        </is>
      </c>
      <c r="F426" t="inlineStr">
        <is>
          <t>Justin Kluivert - Netherlands</t>
        </is>
      </c>
      <c r="G426" t="inlineStr">
        <is>
          <t>Base</t>
        </is>
      </c>
      <c r="I426" t="n">
        <v>0</v>
      </c>
    </row>
    <row r="427">
      <c r="A427">
        <f>CHOOSE(MATCH(Config!$B$2,{"PT";"EN"},0),"Seleção","Team")</f>
        <v/>
      </c>
      <c r="B427" t="inlineStr">
        <is>
          <t>Grupo F</t>
        </is>
      </c>
      <c r="C427" t="inlineStr">
        <is>
          <t>NED</t>
        </is>
      </c>
      <c r="D427" t="inlineStr">
        <is>
          <t>Netherlands</t>
        </is>
      </c>
      <c r="E427" t="inlineStr">
        <is>
          <t>NED17</t>
        </is>
      </c>
      <c r="F427" t="inlineStr">
        <is>
          <t>Memphis Depay - Netherlands</t>
        </is>
      </c>
      <c r="G427" t="inlineStr">
        <is>
          <t>Base</t>
        </is>
      </c>
      <c r="I427" t="n">
        <v>0</v>
      </c>
    </row>
    <row r="428">
      <c r="A428">
        <f>CHOOSE(MATCH(Config!$B$2,{"PT";"EN"},0),"Seleção","Team")</f>
        <v/>
      </c>
      <c r="B428" t="inlineStr">
        <is>
          <t>Grupo F</t>
        </is>
      </c>
      <c r="C428" t="inlineStr">
        <is>
          <t>NED</t>
        </is>
      </c>
      <c r="D428" t="inlineStr">
        <is>
          <t>Netherlands</t>
        </is>
      </c>
      <c r="E428" t="inlineStr">
        <is>
          <t>NED18</t>
        </is>
      </c>
      <c r="F428" t="inlineStr">
        <is>
          <t>Donyell Malen - Netherlands</t>
        </is>
      </c>
      <c r="G428" t="inlineStr">
        <is>
          <t>Base</t>
        </is>
      </c>
      <c r="I428" t="n">
        <v>0</v>
      </c>
    </row>
    <row r="429">
      <c r="A429">
        <f>CHOOSE(MATCH(Config!$B$2,{"PT";"EN"},0),"Seleção","Team")</f>
        <v/>
      </c>
      <c r="B429" t="inlineStr">
        <is>
          <t>Grupo F</t>
        </is>
      </c>
      <c r="C429" t="inlineStr">
        <is>
          <t>NED</t>
        </is>
      </c>
      <c r="D429" t="inlineStr">
        <is>
          <t>Netherlands</t>
        </is>
      </c>
      <c r="E429" t="inlineStr">
        <is>
          <t>NED19</t>
        </is>
      </c>
      <c r="F429" t="inlineStr">
        <is>
          <t>Wout Weghorst - Netherlands</t>
        </is>
      </c>
      <c r="G429" t="inlineStr">
        <is>
          <t>Base</t>
        </is>
      </c>
      <c r="I429" t="n">
        <v>0</v>
      </c>
    </row>
    <row r="430">
      <c r="A430">
        <f>CHOOSE(MATCH(Config!$B$2,{"PT";"EN"},0),"Seleção","Team")</f>
        <v/>
      </c>
      <c r="B430" t="inlineStr">
        <is>
          <t>Grupo F</t>
        </is>
      </c>
      <c r="C430" t="inlineStr">
        <is>
          <t>NED</t>
        </is>
      </c>
      <c r="D430" t="inlineStr">
        <is>
          <t>Netherlands</t>
        </is>
      </c>
      <c r="E430" t="inlineStr">
        <is>
          <t>NED20</t>
        </is>
      </c>
      <c r="F430" t="inlineStr">
        <is>
          <t>Cody Gakpo - Netherlands</t>
        </is>
      </c>
      <c r="G430" t="inlineStr">
        <is>
          <t>Base</t>
        </is>
      </c>
      <c r="I430" t="n">
        <v>0</v>
      </c>
    </row>
    <row r="431">
      <c r="A431">
        <f>CHOOSE(MATCH(Config!$B$2,{"PT";"EN"},0),"Seleção","Team")</f>
        <v/>
      </c>
      <c r="B431" t="inlineStr">
        <is>
          <t>Grupo F</t>
        </is>
      </c>
      <c r="C431" t="inlineStr">
        <is>
          <t>JPN</t>
        </is>
      </c>
      <c r="D431" t="inlineStr">
        <is>
          <t>Japan</t>
        </is>
      </c>
      <c r="E431" t="inlineStr">
        <is>
          <t>JPN1</t>
        </is>
      </c>
      <c r="F431" t="inlineStr">
        <is>
          <t>Team Logo - Japan FOIL</t>
        </is>
      </c>
      <c r="G431" t="inlineStr">
        <is>
          <t>FOIL</t>
        </is>
      </c>
      <c r="I431" t="n">
        <v>0</v>
      </c>
    </row>
    <row r="432">
      <c r="A432">
        <f>CHOOSE(MATCH(Config!$B$2,{"PT";"EN"},0),"Seleção","Team")</f>
        <v/>
      </c>
      <c r="B432" t="inlineStr">
        <is>
          <t>Grupo F</t>
        </is>
      </c>
      <c r="C432" t="inlineStr">
        <is>
          <t>JPN</t>
        </is>
      </c>
      <c r="D432" t="inlineStr">
        <is>
          <t>Japan</t>
        </is>
      </c>
      <c r="E432" t="inlineStr">
        <is>
          <t>JPN2</t>
        </is>
      </c>
      <c r="F432" t="inlineStr">
        <is>
          <t>Zion Suzuki - Japan</t>
        </is>
      </c>
      <c r="G432" t="inlineStr">
        <is>
          <t>Base</t>
        </is>
      </c>
      <c r="I432" t="n">
        <v>0</v>
      </c>
    </row>
    <row r="433">
      <c r="A433">
        <f>CHOOSE(MATCH(Config!$B$2,{"PT";"EN"},0),"Seleção","Team")</f>
        <v/>
      </c>
      <c r="B433" t="inlineStr">
        <is>
          <t>Grupo F</t>
        </is>
      </c>
      <c r="C433" t="inlineStr">
        <is>
          <t>JPN</t>
        </is>
      </c>
      <c r="D433" t="inlineStr">
        <is>
          <t>Japan</t>
        </is>
      </c>
      <c r="E433" t="inlineStr">
        <is>
          <t>JPN3</t>
        </is>
      </c>
      <c r="F433" t="inlineStr">
        <is>
          <t>Henry Heroki Mochizuki - Japan</t>
        </is>
      </c>
      <c r="G433" t="inlineStr">
        <is>
          <t>Base</t>
        </is>
      </c>
      <c r="I433" t="n">
        <v>0</v>
      </c>
    </row>
    <row r="434">
      <c r="A434">
        <f>CHOOSE(MATCH(Config!$B$2,{"PT";"EN"},0),"Seleção","Team")</f>
        <v/>
      </c>
      <c r="B434" t="inlineStr">
        <is>
          <t>Grupo F</t>
        </is>
      </c>
      <c r="C434" t="inlineStr">
        <is>
          <t>JPN</t>
        </is>
      </c>
      <c r="D434" t="inlineStr">
        <is>
          <t>Japan</t>
        </is>
      </c>
      <c r="E434" t="inlineStr">
        <is>
          <t>JPN4</t>
        </is>
      </c>
      <c r="F434" t="inlineStr">
        <is>
          <t>Ayumu Seko - Japan</t>
        </is>
      </c>
      <c r="G434" t="inlineStr">
        <is>
          <t>Base</t>
        </is>
      </c>
      <c r="I434" t="n">
        <v>0</v>
      </c>
    </row>
    <row r="435">
      <c r="A435">
        <f>CHOOSE(MATCH(Config!$B$2,{"PT";"EN"},0),"Seleção","Team")</f>
        <v/>
      </c>
      <c r="B435" t="inlineStr">
        <is>
          <t>Grupo F</t>
        </is>
      </c>
      <c r="C435" t="inlineStr">
        <is>
          <t>JPN</t>
        </is>
      </c>
      <c r="D435" t="inlineStr">
        <is>
          <t>Japan</t>
        </is>
      </c>
      <c r="E435" t="inlineStr">
        <is>
          <t>JPN5</t>
        </is>
      </c>
      <c r="F435" t="inlineStr">
        <is>
          <t>Junnosuke Suzuki - Japan</t>
        </is>
      </c>
      <c r="G435" t="inlineStr">
        <is>
          <t>Base</t>
        </is>
      </c>
      <c r="I435" t="n">
        <v>0</v>
      </c>
    </row>
    <row r="436">
      <c r="A436">
        <f>CHOOSE(MATCH(Config!$B$2,{"PT";"EN"},0),"Seleção","Team")</f>
        <v/>
      </c>
      <c r="B436" t="inlineStr">
        <is>
          <t>Grupo F</t>
        </is>
      </c>
      <c r="C436" t="inlineStr">
        <is>
          <t>JPN</t>
        </is>
      </c>
      <c r="D436" t="inlineStr">
        <is>
          <t>Japan</t>
        </is>
      </c>
      <c r="E436" t="inlineStr">
        <is>
          <t>JPN6</t>
        </is>
      </c>
      <c r="F436" t="inlineStr">
        <is>
          <t>Shogo Taniguchi - Japan</t>
        </is>
      </c>
      <c r="G436" t="inlineStr">
        <is>
          <t>Base</t>
        </is>
      </c>
      <c r="I436" t="n">
        <v>0</v>
      </c>
    </row>
    <row r="437">
      <c r="A437">
        <f>CHOOSE(MATCH(Config!$B$2,{"PT";"EN"},0),"Seleção","Team")</f>
        <v/>
      </c>
      <c r="B437" t="inlineStr">
        <is>
          <t>Grupo F</t>
        </is>
      </c>
      <c r="C437" t="inlineStr">
        <is>
          <t>JPN</t>
        </is>
      </c>
      <c r="D437" t="inlineStr">
        <is>
          <t>Japan</t>
        </is>
      </c>
      <c r="E437" t="inlineStr">
        <is>
          <t>JPN7</t>
        </is>
      </c>
      <c r="F437" t="inlineStr">
        <is>
          <t>Tsuyoshi Watanabe - Japan</t>
        </is>
      </c>
      <c r="G437" t="inlineStr">
        <is>
          <t>Base</t>
        </is>
      </c>
      <c r="I437" t="n">
        <v>0</v>
      </c>
    </row>
    <row r="438">
      <c r="A438">
        <f>CHOOSE(MATCH(Config!$B$2,{"PT";"EN"},0),"Seleção","Team")</f>
        <v/>
      </c>
      <c r="B438" t="inlineStr">
        <is>
          <t>Grupo F</t>
        </is>
      </c>
      <c r="C438" t="inlineStr">
        <is>
          <t>JPN</t>
        </is>
      </c>
      <c r="D438" t="inlineStr">
        <is>
          <t>Japan</t>
        </is>
      </c>
      <c r="E438" t="inlineStr">
        <is>
          <t>JPN8</t>
        </is>
      </c>
      <c r="F438" t="inlineStr">
        <is>
          <t>Kaishu Sano - Japan</t>
        </is>
      </c>
      <c r="G438" t="inlineStr">
        <is>
          <t>Base</t>
        </is>
      </c>
      <c r="I438" t="n">
        <v>0</v>
      </c>
    </row>
    <row r="439">
      <c r="A439">
        <f>CHOOSE(MATCH(Config!$B$2,{"PT";"EN"},0),"Seleção","Team")</f>
        <v/>
      </c>
      <c r="B439" t="inlineStr">
        <is>
          <t>Grupo F</t>
        </is>
      </c>
      <c r="C439" t="inlineStr">
        <is>
          <t>JPN</t>
        </is>
      </c>
      <c r="D439" t="inlineStr">
        <is>
          <t>Japan</t>
        </is>
      </c>
      <c r="E439" t="inlineStr">
        <is>
          <t>JPN9</t>
        </is>
      </c>
      <c r="F439" t="inlineStr">
        <is>
          <t>Yuki Soma - Japan</t>
        </is>
      </c>
      <c r="G439" t="inlineStr">
        <is>
          <t>Base</t>
        </is>
      </c>
      <c r="I439" t="n">
        <v>0</v>
      </c>
    </row>
    <row r="440">
      <c r="A440">
        <f>CHOOSE(MATCH(Config!$B$2,{"PT";"EN"},0),"Seleção","Team")</f>
        <v/>
      </c>
      <c r="B440" t="inlineStr">
        <is>
          <t>Grupo F</t>
        </is>
      </c>
      <c r="C440" t="inlineStr">
        <is>
          <t>JPN</t>
        </is>
      </c>
      <c r="D440" t="inlineStr">
        <is>
          <t>Japan</t>
        </is>
      </c>
      <c r="E440" t="inlineStr">
        <is>
          <t>JPN10</t>
        </is>
      </c>
      <c r="F440" t="inlineStr">
        <is>
          <t>Ao Tanaka - Japan</t>
        </is>
      </c>
      <c r="G440" t="inlineStr">
        <is>
          <t>Base</t>
        </is>
      </c>
      <c r="I440" t="n">
        <v>0</v>
      </c>
    </row>
    <row r="441">
      <c r="A441">
        <f>CHOOSE(MATCH(Config!$B$2,{"PT";"EN"},0),"Seleção","Team")</f>
        <v/>
      </c>
      <c r="B441" t="inlineStr">
        <is>
          <t>Grupo F</t>
        </is>
      </c>
      <c r="C441" t="inlineStr">
        <is>
          <t>JPN</t>
        </is>
      </c>
      <c r="D441" t="inlineStr">
        <is>
          <t>Japan</t>
        </is>
      </c>
      <c r="E441" t="inlineStr">
        <is>
          <t>JPN11</t>
        </is>
      </c>
      <c r="F441" t="inlineStr">
        <is>
          <t>Daichi Kamada - Japan</t>
        </is>
      </c>
      <c r="G441" t="inlineStr">
        <is>
          <t>Base</t>
        </is>
      </c>
      <c r="I441" t="n">
        <v>0</v>
      </c>
    </row>
    <row r="442">
      <c r="A442">
        <f>CHOOSE(MATCH(Config!$B$2,{"PT";"EN"},0),"Seleção","Team")</f>
        <v/>
      </c>
      <c r="B442" t="inlineStr">
        <is>
          <t>Grupo F</t>
        </is>
      </c>
      <c r="C442" t="inlineStr">
        <is>
          <t>JPN</t>
        </is>
      </c>
      <c r="D442" t="inlineStr">
        <is>
          <t>Japan</t>
        </is>
      </c>
      <c r="E442" t="inlineStr">
        <is>
          <t>JPN12</t>
        </is>
      </c>
      <c r="F442" t="inlineStr">
        <is>
          <t>Takefusa Kubo - Japan</t>
        </is>
      </c>
      <c r="G442" t="inlineStr">
        <is>
          <t>Base</t>
        </is>
      </c>
      <c r="I442" t="n">
        <v>0</v>
      </c>
    </row>
    <row r="443">
      <c r="A443">
        <f>CHOOSE(MATCH(Config!$B$2,{"PT";"EN"},0),"Seleção","Team")</f>
        <v/>
      </c>
      <c r="B443" t="inlineStr">
        <is>
          <t>Grupo F</t>
        </is>
      </c>
      <c r="C443" t="inlineStr">
        <is>
          <t>JPN</t>
        </is>
      </c>
      <c r="D443" t="inlineStr">
        <is>
          <t>Japan</t>
        </is>
      </c>
      <c r="E443" t="inlineStr">
        <is>
          <t>JPN13</t>
        </is>
      </c>
      <c r="F443" t="inlineStr">
        <is>
          <t>Team Photo - Japan</t>
        </is>
      </c>
      <c r="G443" t="inlineStr">
        <is>
          <t>Base</t>
        </is>
      </c>
      <c r="I443" t="n">
        <v>0</v>
      </c>
    </row>
    <row r="444">
      <c r="A444">
        <f>CHOOSE(MATCH(Config!$B$2,{"PT";"EN"},0),"Seleção","Team")</f>
        <v/>
      </c>
      <c r="B444" t="inlineStr">
        <is>
          <t>Grupo F</t>
        </is>
      </c>
      <c r="C444" t="inlineStr">
        <is>
          <t>JPN</t>
        </is>
      </c>
      <c r="D444" t="inlineStr">
        <is>
          <t>Japan</t>
        </is>
      </c>
      <c r="E444" t="inlineStr">
        <is>
          <t>JPN14</t>
        </is>
      </c>
      <c r="F444" t="inlineStr">
        <is>
          <t>Ritsu Doan - Japan</t>
        </is>
      </c>
      <c r="G444" t="inlineStr">
        <is>
          <t>Base</t>
        </is>
      </c>
      <c r="I444" t="n">
        <v>0</v>
      </c>
    </row>
    <row r="445">
      <c r="A445">
        <f>CHOOSE(MATCH(Config!$B$2,{"PT";"EN"},0),"Seleção","Team")</f>
        <v/>
      </c>
      <c r="B445" t="inlineStr">
        <is>
          <t>Grupo F</t>
        </is>
      </c>
      <c r="C445" t="inlineStr">
        <is>
          <t>JPN</t>
        </is>
      </c>
      <c r="D445" t="inlineStr">
        <is>
          <t>Japan</t>
        </is>
      </c>
      <c r="E445" t="inlineStr">
        <is>
          <t>JPN15</t>
        </is>
      </c>
      <c r="F445" t="inlineStr">
        <is>
          <t>Keito Nakamura - Japan</t>
        </is>
      </c>
      <c r="G445" t="inlineStr">
        <is>
          <t>Base</t>
        </is>
      </c>
      <c r="I445" t="n">
        <v>0</v>
      </c>
    </row>
    <row r="446">
      <c r="A446">
        <f>CHOOSE(MATCH(Config!$B$2,{"PT";"EN"},0),"Seleção","Team")</f>
        <v/>
      </c>
      <c r="B446" t="inlineStr">
        <is>
          <t>Grupo F</t>
        </is>
      </c>
      <c r="C446" t="inlineStr">
        <is>
          <t>JPN</t>
        </is>
      </c>
      <c r="D446" t="inlineStr">
        <is>
          <t>Japan</t>
        </is>
      </c>
      <c r="E446" t="inlineStr">
        <is>
          <t>JPN16</t>
        </is>
      </c>
      <c r="F446" t="inlineStr">
        <is>
          <t>Takumi Minamino - Japan</t>
        </is>
      </c>
      <c r="G446" t="inlineStr">
        <is>
          <t>Base</t>
        </is>
      </c>
      <c r="I446" t="n">
        <v>0</v>
      </c>
    </row>
    <row r="447">
      <c r="A447">
        <f>CHOOSE(MATCH(Config!$B$2,{"PT";"EN"},0),"Seleção","Team")</f>
        <v/>
      </c>
      <c r="B447" t="inlineStr">
        <is>
          <t>Grupo F</t>
        </is>
      </c>
      <c r="C447" t="inlineStr">
        <is>
          <t>JPN</t>
        </is>
      </c>
      <c r="D447" t="inlineStr">
        <is>
          <t>Japan</t>
        </is>
      </c>
      <c r="E447" t="inlineStr">
        <is>
          <t>JPN17</t>
        </is>
      </c>
      <c r="F447" t="inlineStr">
        <is>
          <t>Shuto Machino - Japan</t>
        </is>
      </c>
      <c r="G447" t="inlineStr">
        <is>
          <t>Base</t>
        </is>
      </c>
      <c r="I447" t="n">
        <v>0</v>
      </c>
    </row>
    <row r="448">
      <c r="A448">
        <f>CHOOSE(MATCH(Config!$B$2,{"PT";"EN"},0),"Seleção","Team")</f>
        <v/>
      </c>
      <c r="B448" t="inlineStr">
        <is>
          <t>Grupo F</t>
        </is>
      </c>
      <c r="C448" t="inlineStr">
        <is>
          <t>JPN</t>
        </is>
      </c>
      <c r="D448" t="inlineStr">
        <is>
          <t>Japan</t>
        </is>
      </c>
      <c r="E448" t="inlineStr">
        <is>
          <t>JPN18</t>
        </is>
      </c>
      <c r="F448" t="inlineStr">
        <is>
          <t>Junya Ito - Japan</t>
        </is>
      </c>
      <c r="G448" t="inlineStr">
        <is>
          <t>Base</t>
        </is>
      </c>
      <c r="I448" t="n">
        <v>0</v>
      </c>
    </row>
    <row r="449">
      <c r="A449">
        <f>CHOOSE(MATCH(Config!$B$2,{"PT";"EN"},0),"Seleção","Team")</f>
        <v/>
      </c>
      <c r="B449" t="inlineStr">
        <is>
          <t>Grupo F</t>
        </is>
      </c>
      <c r="C449" t="inlineStr">
        <is>
          <t>JPN</t>
        </is>
      </c>
      <c r="D449" t="inlineStr">
        <is>
          <t>Japan</t>
        </is>
      </c>
      <c r="E449" t="inlineStr">
        <is>
          <t>JPN19</t>
        </is>
      </c>
      <c r="F449" t="inlineStr">
        <is>
          <t>Koki Ogawa - Japan</t>
        </is>
      </c>
      <c r="G449" t="inlineStr">
        <is>
          <t>Base</t>
        </is>
      </c>
      <c r="I449" t="n">
        <v>0</v>
      </c>
    </row>
    <row r="450">
      <c r="A450">
        <f>CHOOSE(MATCH(Config!$B$2,{"PT";"EN"},0),"Seleção","Team")</f>
        <v/>
      </c>
      <c r="B450" t="inlineStr">
        <is>
          <t>Grupo F</t>
        </is>
      </c>
      <c r="C450" t="inlineStr">
        <is>
          <t>JPN</t>
        </is>
      </c>
      <c r="D450" t="inlineStr">
        <is>
          <t>Japan</t>
        </is>
      </c>
      <c r="E450" t="inlineStr">
        <is>
          <t>JPN20</t>
        </is>
      </c>
      <c r="F450" t="inlineStr">
        <is>
          <t>Ayase Ueda - Japan</t>
        </is>
      </c>
      <c r="G450" t="inlineStr">
        <is>
          <t>Base</t>
        </is>
      </c>
      <c r="I450" t="n">
        <v>0</v>
      </c>
    </row>
    <row r="451">
      <c r="A451">
        <f>CHOOSE(MATCH(Config!$B$2,{"PT";"EN"},0),"Seleção","Team")</f>
        <v/>
      </c>
      <c r="B451" t="inlineStr">
        <is>
          <t>Grupo F</t>
        </is>
      </c>
      <c r="C451" t="inlineStr">
        <is>
          <t>SWE</t>
        </is>
      </c>
      <c r="D451" t="inlineStr">
        <is>
          <t>Sweden</t>
        </is>
      </c>
      <c r="E451" t="inlineStr">
        <is>
          <t>SWE1</t>
        </is>
      </c>
      <c r="F451" t="inlineStr">
        <is>
          <t>Team Logo - Sweden FOIL</t>
        </is>
      </c>
      <c r="G451" t="inlineStr">
        <is>
          <t>FOIL</t>
        </is>
      </c>
      <c r="I451" t="n">
        <v>0</v>
      </c>
    </row>
    <row r="452">
      <c r="A452">
        <f>CHOOSE(MATCH(Config!$B$2,{"PT";"EN"},0),"Seleção","Team")</f>
        <v/>
      </c>
      <c r="B452" t="inlineStr">
        <is>
          <t>Grupo F</t>
        </is>
      </c>
      <c r="C452" t="inlineStr">
        <is>
          <t>SWE</t>
        </is>
      </c>
      <c r="D452" t="inlineStr">
        <is>
          <t>Sweden</t>
        </is>
      </c>
      <c r="E452" t="inlineStr">
        <is>
          <t>SWE2</t>
        </is>
      </c>
      <c r="F452" t="inlineStr">
        <is>
          <t>Victor Johansson - Sweden</t>
        </is>
      </c>
      <c r="G452" t="inlineStr">
        <is>
          <t>Base</t>
        </is>
      </c>
      <c r="I452" t="n">
        <v>0</v>
      </c>
    </row>
    <row r="453">
      <c r="A453">
        <f>CHOOSE(MATCH(Config!$B$2,{"PT";"EN"},0),"Seleção","Team")</f>
        <v/>
      </c>
      <c r="B453" t="inlineStr">
        <is>
          <t>Grupo F</t>
        </is>
      </c>
      <c r="C453" t="inlineStr">
        <is>
          <t>SWE</t>
        </is>
      </c>
      <c r="D453" t="inlineStr">
        <is>
          <t>Sweden</t>
        </is>
      </c>
      <c r="E453" t="inlineStr">
        <is>
          <t>SWE3</t>
        </is>
      </c>
      <c r="F453" t="inlineStr">
        <is>
          <t>Isak Hien - Sweden</t>
        </is>
      </c>
      <c r="G453" t="inlineStr">
        <is>
          <t>Base</t>
        </is>
      </c>
      <c r="I453" t="n">
        <v>0</v>
      </c>
    </row>
    <row r="454">
      <c r="A454">
        <f>CHOOSE(MATCH(Config!$B$2,{"PT";"EN"},0),"Seleção","Team")</f>
        <v/>
      </c>
      <c r="B454" t="inlineStr">
        <is>
          <t>Grupo F</t>
        </is>
      </c>
      <c r="C454" t="inlineStr">
        <is>
          <t>SWE</t>
        </is>
      </c>
      <c r="D454" t="inlineStr">
        <is>
          <t>Sweden</t>
        </is>
      </c>
      <c r="E454" t="inlineStr">
        <is>
          <t>SWE4</t>
        </is>
      </c>
      <c r="F454" t="inlineStr">
        <is>
          <t>Gabriel Gudmundsson - Sweden</t>
        </is>
      </c>
      <c r="G454" t="inlineStr">
        <is>
          <t>Base</t>
        </is>
      </c>
      <c r="I454" t="n">
        <v>0</v>
      </c>
    </row>
    <row r="455">
      <c r="A455">
        <f>CHOOSE(MATCH(Config!$B$2,{"PT";"EN"},0),"Seleção","Team")</f>
        <v/>
      </c>
      <c r="B455" t="inlineStr">
        <is>
          <t>Grupo F</t>
        </is>
      </c>
      <c r="C455" t="inlineStr">
        <is>
          <t>SWE</t>
        </is>
      </c>
      <c r="D455" t="inlineStr">
        <is>
          <t>Sweden</t>
        </is>
      </c>
      <c r="E455" t="inlineStr">
        <is>
          <t>SWE5</t>
        </is>
      </c>
      <c r="F455" t="inlineStr">
        <is>
          <t>Emil Holm - Sweden</t>
        </is>
      </c>
      <c r="G455" t="inlineStr">
        <is>
          <t>Base</t>
        </is>
      </c>
      <c r="I455" t="n">
        <v>0</v>
      </c>
    </row>
    <row r="456">
      <c r="A456">
        <f>CHOOSE(MATCH(Config!$B$2,{"PT";"EN"},0),"Seleção","Team")</f>
        <v/>
      </c>
      <c r="B456" t="inlineStr">
        <is>
          <t>Grupo F</t>
        </is>
      </c>
      <c r="C456" t="inlineStr">
        <is>
          <t>SWE</t>
        </is>
      </c>
      <c r="D456" t="inlineStr">
        <is>
          <t>Sweden</t>
        </is>
      </c>
      <c r="E456" t="inlineStr">
        <is>
          <t>SWE6</t>
        </is>
      </c>
      <c r="F456" t="inlineStr">
        <is>
          <t>Victor Nilsson Lindelöf - Sweden</t>
        </is>
      </c>
      <c r="G456" t="inlineStr">
        <is>
          <t>Base</t>
        </is>
      </c>
      <c r="I456" t="n">
        <v>0</v>
      </c>
    </row>
    <row r="457">
      <c r="A457">
        <f>CHOOSE(MATCH(Config!$B$2,{"PT";"EN"},0),"Seleção","Team")</f>
        <v/>
      </c>
      <c r="B457" t="inlineStr">
        <is>
          <t>Grupo F</t>
        </is>
      </c>
      <c r="C457" t="inlineStr">
        <is>
          <t>SWE</t>
        </is>
      </c>
      <c r="D457" t="inlineStr">
        <is>
          <t>Sweden</t>
        </is>
      </c>
      <c r="E457" t="inlineStr">
        <is>
          <t>SWE7</t>
        </is>
      </c>
      <c r="F457" t="inlineStr">
        <is>
          <t>Gustaf Lagerbielke - Sweden</t>
        </is>
      </c>
      <c r="G457" t="inlineStr">
        <is>
          <t>Base</t>
        </is>
      </c>
      <c r="I457" t="n">
        <v>0</v>
      </c>
    </row>
    <row r="458">
      <c r="A458">
        <f>CHOOSE(MATCH(Config!$B$2,{"PT";"EN"},0),"Seleção","Team")</f>
        <v/>
      </c>
      <c r="B458" t="inlineStr">
        <is>
          <t>Grupo F</t>
        </is>
      </c>
      <c r="C458" t="inlineStr">
        <is>
          <t>SWE</t>
        </is>
      </c>
      <c r="D458" t="inlineStr">
        <is>
          <t>Sweden</t>
        </is>
      </c>
      <c r="E458" t="inlineStr">
        <is>
          <t>SWE8</t>
        </is>
      </c>
      <c r="F458" t="inlineStr">
        <is>
          <t>Lucas Bergvall - Sweden</t>
        </is>
      </c>
      <c r="G458" t="inlineStr">
        <is>
          <t>Base</t>
        </is>
      </c>
      <c r="I458" t="n">
        <v>0</v>
      </c>
    </row>
    <row r="459">
      <c r="A459">
        <f>CHOOSE(MATCH(Config!$B$2,{"PT";"EN"},0),"Seleção","Team")</f>
        <v/>
      </c>
      <c r="B459" t="inlineStr">
        <is>
          <t>Grupo F</t>
        </is>
      </c>
      <c r="C459" t="inlineStr">
        <is>
          <t>SWE</t>
        </is>
      </c>
      <c r="D459" t="inlineStr">
        <is>
          <t>Sweden</t>
        </is>
      </c>
      <c r="E459" t="inlineStr">
        <is>
          <t>SWE9</t>
        </is>
      </c>
      <c r="F459" t="inlineStr">
        <is>
          <t>Hugo Larsson - Sweden</t>
        </is>
      </c>
      <c r="G459" t="inlineStr">
        <is>
          <t>Base</t>
        </is>
      </c>
      <c r="I459" t="n">
        <v>0</v>
      </c>
    </row>
    <row r="460">
      <c r="A460">
        <f>CHOOSE(MATCH(Config!$B$2,{"PT";"EN"},0),"Seleção","Team")</f>
        <v/>
      </c>
      <c r="B460" t="inlineStr">
        <is>
          <t>Grupo F</t>
        </is>
      </c>
      <c r="C460" t="inlineStr">
        <is>
          <t>SWE</t>
        </is>
      </c>
      <c r="D460" t="inlineStr">
        <is>
          <t>Sweden</t>
        </is>
      </c>
      <c r="E460" t="inlineStr">
        <is>
          <t>SWE10</t>
        </is>
      </c>
      <c r="F460" t="inlineStr">
        <is>
          <t>Jesper Karlström - Sweden</t>
        </is>
      </c>
      <c r="G460" t="inlineStr">
        <is>
          <t>Base</t>
        </is>
      </c>
      <c r="I460" t="n">
        <v>0</v>
      </c>
    </row>
    <row r="461">
      <c r="A461">
        <f>CHOOSE(MATCH(Config!$B$2,{"PT";"EN"},0),"Seleção","Team")</f>
        <v/>
      </c>
      <c r="B461" t="inlineStr">
        <is>
          <t>Grupo F</t>
        </is>
      </c>
      <c r="C461" t="inlineStr">
        <is>
          <t>SWE</t>
        </is>
      </c>
      <c r="D461" t="inlineStr">
        <is>
          <t>Sweden</t>
        </is>
      </c>
      <c r="E461" t="inlineStr">
        <is>
          <t>SWE11</t>
        </is>
      </c>
      <c r="F461" t="inlineStr">
        <is>
          <t>Yasin Ayari - Sweden</t>
        </is>
      </c>
      <c r="G461" t="inlineStr">
        <is>
          <t>Base</t>
        </is>
      </c>
      <c r="I461" t="n">
        <v>0</v>
      </c>
    </row>
    <row r="462">
      <c r="A462">
        <f>CHOOSE(MATCH(Config!$B$2,{"PT";"EN"},0),"Seleção","Team")</f>
        <v/>
      </c>
      <c r="B462" t="inlineStr">
        <is>
          <t>Grupo F</t>
        </is>
      </c>
      <c r="C462" t="inlineStr">
        <is>
          <t>SWE</t>
        </is>
      </c>
      <c r="D462" t="inlineStr">
        <is>
          <t>Sweden</t>
        </is>
      </c>
      <c r="E462" t="inlineStr">
        <is>
          <t>SWE12</t>
        </is>
      </c>
      <c r="F462" t="inlineStr">
        <is>
          <t>Mattias Svanberg - Sweden</t>
        </is>
      </c>
      <c r="G462" t="inlineStr">
        <is>
          <t>Base</t>
        </is>
      </c>
      <c r="I462" t="n">
        <v>0</v>
      </c>
    </row>
    <row r="463">
      <c r="A463">
        <f>CHOOSE(MATCH(Config!$B$2,{"PT";"EN"},0),"Seleção","Team")</f>
        <v/>
      </c>
      <c r="B463" t="inlineStr">
        <is>
          <t>Grupo F</t>
        </is>
      </c>
      <c r="C463" t="inlineStr">
        <is>
          <t>SWE</t>
        </is>
      </c>
      <c r="D463" t="inlineStr">
        <is>
          <t>Sweden</t>
        </is>
      </c>
      <c r="E463" t="inlineStr">
        <is>
          <t>SWE13</t>
        </is>
      </c>
      <c r="F463" t="inlineStr">
        <is>
          <t>Team Photo - Sweden</t>
        </is>
      </c>
      <c r="G463" t="inlineStr">
        <is>
          <t>Base</t>
        </is>
      </c>
      <c r="I463" t="n">
        <v>0</v>
      </c>
    </row>
    <row r="464">
      <c r="A464">
        <f>CHOOSE(MATCH(Config!$B$2,{"PT";"EN"},0),"Seleção","Team")</f>
        <v/>
      </c>
      <c r="B464" t="inlineStr">
        <is>
          <t>Grupo F</t>
        </is>
      </c>
      <c r="C464" t="inlineStr">
        <is>
          <t>SWE</t>
        </is>
      </c>
      <c r="D464" t="inlineStr">
        <is>
          <t>Sweden</t>
        </is>
      </c>
      <c r="E464" t="inlineStr">
        <is>
          <t>SWE14</t>
        </is>
      </c>
      <c r="F464" t="inlineStr">
        <is>
          <t>Daniel Svensson - Sweden</t>
        </is>
      </c>
      <c r="G464" t="inlineStr">
        <is>
          <t>Base</t>
        </is>
      </c>
      <c r="I464" t="n">
        <v>0</v>
      </c>
    </row>
    <row r="465">
      <c r="A465">
        <f>CHOOSE(MATCH(Config!$B$2,{"PT";"EN"},0),"Seleção","Team")</f>
        <v/>
      </c>
      <c r="B465" t="inlineStr">
        <is>
          <t>Grupo F</t>
        </is>
      </c>
      <c r="C465" t="inlineStr">
        <is>
          <t>SWE</t>
        </is>
      </c>
      <c r="D465" t="inlineStr">
        <is>
          <t>Sweden</t>
        </is>
      </c>
      <c r="E465" t="inlineStr">
        <is>
          <t>SWE15</t>
        </is>
      </c>
      <c r="F465" t="inlineStr">
        <is>
          <t>Ken Sema - Sweden</t>
        </is>
      </c>
      <c r="G465" t="inlineStr">
        <is>
          <t>Base</t>
        </is>
      </c>
      <c r="I465" t="n">
        <v>0</v>
      </c>
    </row>
    <row r="466">
      <c r="A466">
        <f>CHOOSE(MATCH(Config!$B$2,{"PT";"EN"},0),"Seleção","Team")</f>
        <v/>
      </c>
      <c r="B466" t="inlineStr">
        <is>
          <t>Grupo F</t>
        </is>
      </c>
      <c r="C466" t="inlineStr">
        <is>
          <t>SWE</t>
        </is>
      </c>
      <c r="D466" t="inlineStr">
        <is>
          <t>Sweden</t>
        </is>
      </c>
      <c r="E466" t="inlineStr">
        <is>
          <t>SWE16</t>
        </is>
      </c>
      <c r="F466" t="inlineStr">
        <is>
          <t>Roony Bardghji - Sweden</t>
        </is>
      </c>
      <c r="G466" t="inlineStr">
        <is>
          <t>Base</t>
        </is>
      </c>
      <c r="I466" t="n">
        <v>0</v>
      </c>
    </row>
    <row r="467">
      <c r="A467">
        <f>CHOOSE(MATCH(Config!$B$2,{"PT";"EN"},0),"Seleção","Team")</f>
        <v/>
      </c>
      <c r="B467" t="inlineStr">
        <is>
          <t>Grupo F</t>
        </is>
      </c>
      <c r="C467" t="inlineStr">
        <is>
          <t>SWE</t>
        </is>
      </c>
      <c r="D467" t="inlineStr">
        <is>
          <t>Sweden</t>
        </is>
      </c>
      <c r="E467" t="inlineStr">
        <is>
          <t>SWE17</t>
        </is>
      </c>
      <c r="F467" t="inlineStr">
        <is>
          <t>Dejan Kulusevski - Sweden</t>
        </is>
      </c>
      <c r="G467" t="inlineStr">
        <is>
          <t>Base</t>
        </is>
      </c>
      <c r="I467" t="n">
        <v>0</v>
      </c>
    </row>
    <row r="468">
      <c r="A468">
        <f>CHOOSE(MATCH(Config!$B$2,{"PT";"EN"},0),"Seleção","Team")</f>
        <v/>
      </c>
      <c r="B468" t="inlineStr">
        <is>
          <t>Grupo F</t>
        </is>
      </c>
      <c r="C468" t="inlineStr">
        <is>
          <t>SWE</t>
        </is>
      </c>
      <c r="D468" t="inlineStr">
        <is>
          <t>Sweden</t>
        </is>
      </c>
      <c r="E468" t="inlineStr">
        <is>
          <t>SWE18</t>
        </is>
      </c>
      <c r="F468" t="inlineStr">
        <is>
          <t>Anthony Elanga - Sweden</t>
        </is>
      </c>
      <c r="G468" t="inlineStr">
        <is>
          <t>Base</t>
        </is>
      </c>
      <c r="I468" t="n">
        <v>0</v>
      </c>
    </row>
    <row r="469">
      <c r="A469">
        <f>CHOOSE(MATCH(Config!$B$2,{"PT";"EN"},0),"Seleção","Team")</f>
        <v/>
      </c>
      <c r="B469" t="inlineStr">
        <is>
          <t>Grupo F</t>
        </is>
      </c>
      <c r="C469" t="inlineStr">
        <is>
          <t>SWE</t>
        </is>
      </c>
      <c r="D469" t="inlineStr">
        <is>
          <t>Sweden</t>
        </is>
      </c>
      <c r="E469" t="inlineStr">
        <is>
          <t>SWE19</t>
        </is>
      </c>
      <c r="F469" t="inlineStr">
        <is>
          <t>Alexander Isak - Sweden</t>
        </is>
      </c>
      <c r="G469" t="inlineStr">
        <is>
          <t>Base</t>
        </is>
      </c>
      <c r="I469" t="n">
        <v>0</v>
      </c>
    </row>
    <row r="470">
      <c r="A470">
        <f>CHOOSE(MATCH(Config!$B$2,{"PT";"EN"},0),"Seleção","Team")</f>
        <v/>
      </c>
      <c r="B470" t="inlineStr">
        <is>
          <t>Grupo F</t>
        </is>
      </c>
      <c r="C470" t="inlineStr">
        <is>
          <t>SWE</t>
        </is>
      </c>
      <c r="D470" t="inlineStr">
        <is>
          <t>Sweden</t>
        </is>
      </c>
      <c r="E470" t="inlineStr">
        <is>
          <t>SWE20</t>
        </is>
      </c>
      <c r="F470" t="inlineStr">
        <is>
          <t>Viktor Gyökeres - Sweden</t>
        </is>
      </c>
      <c r="G470" t="inlineStr">
        <is>
          <t>Base</t>
        </is>
      </c>
      <c r="I470" t="n">
        <v>0</v>
      </c>
    </row>
    <row r="471">
      <c r="A471">
        <f>CHOOSE(MATCH(Config!$B$2,{"PT";"EN"},0),"Seleção","Team")</f>
        <v/>
      </c>
      <c r="B471" t="inlineStr">
        <is>
          <t>Grupo F</t>
        </is>
      </c>
      <c r="C471" t="inlineStr">
        <is>
          <t>TUN</t>
        </is>
      </c>
      <c r="D471" t="inlineStr">
        <is>
          <t>Tunisia</t>
        </is>
      </c>
      <c r="E471" t="inlineStr">
        <is>
          <t>TUN1</t>
        </is>
      </c>
      <c r="F471" t="inlineStr">
        <is>
          <t>Team Logo - Tunisia FOIL</t>
        </is>
      </c>
      <c r="G471" t="inlineStr">
        <is>
          <t>FOIL</t>
        </is>
      </c>
      <c r="I471" t="n">
        <v>0</v>
      </c>
    </row>
    <row r="472">
      <c r="A472">
        <f>CHOOSE(MATCH(Config!$B$2,{"PT";"EN"},0),"Seleção","Team")</f>
        <v/>
      </c>
      <c r="B472" t="inlineStr">
        <is>
          <t>Grupo F</t>
        </is>
      </c>
      <c r="C472" t="inlineStr">
        <is>
          <t>TUN</t>
        </is>
      </c>
      <c r="D472" t="inlineStr">
        <is>
          <t>Tunisia</t>
        </is>
      </c>
      <c r="E472" t="inlineStr">
        <is>
          <t>TUN2</t>
        </is>
      </c>
      <c r="F472" t="inlineStr">
        <is>
          <t>Bechir Ben Said - Tunisia</t>
        </is>
      </c>
      <c r="G472" t="inlineStr">
        <is>
          <t>Base</t>
        </is>
      </c>
      <c r="I472" t="n">
        <v>0</v>
      </c>
    </row>
    <row r="473">
      <c r="A473">
        <f>CHOOSE(MATCH(Config!$B$2,{"PT";"EN"},0),"Seleção","Team")</f>
        <v/>
      </c>
      <c r="B473" t="inlineStr">
        <is>
          <t>Grupo F</t>
        </is>
      </c>
      <c r="C473" t="inlineStr">
        <is>
          <t>TUN</t>
        </is>
      </c>
      <c r="D473" t="inlineStr">
        <is>
          <t>Tunisia</t>
        </is>
      </c>
      <c r="E473" t="inlineStr">
        <is>
          <t>TUN3</t>
        </is>
      </c>
      <c r="F473" t="inlineStr">
        <is>
          <t>Aymen Dahmen - Tunisia</t>
        </is>
      </c>
      <c r="G473" t="inlineStr">
        <is>
          <t>Base</t>
        </is>
      </c>
      <c r="I473" t="n">
        <v>0</v>
      </c>
    </row>
    <row r="474">
      <c r="A474">
        <f>CHOOSE(MATCH(Config!$B$2,{"PT";"EN"},0),"Seleção","Team")</f>
        <v/>
      </c>
      <c r="B474" t="inlineStr">
        <is>
          <t>Grupo F</t>
        </is>
      </c>
      <c r="C474" t="inlineStr">
        <is>
          <t>TUN</t>
        </is>
      </c>
      <c r="D474" t="inlineStr">
        <is>
          <t>Tunisia</t>
        </is>
      </c>
      <c r="E474" t="inlineStr">
        <is>
          <t>TUN4</t>
        </is>
      </c>
      <c r="F474" t="inlineStr">
        <is>
          <t>Yan Valery - Tunisia</t>
        </is>
      </c>
      <c r="G474" t="inlineStr">
        <is>
          <t>Base</t>
        </is>
      </c>
      <c r="I474" t="n">
        <v>0</v>
      </c>
    </row>
    <row r="475">
      <c r="A475">
        <f>CHOOSE(MATCH(Config!$B$2,{"PT";"EN"},0),"Seleção","Team")</f>
        <v/>
      </c>
      <c r="B475" t="inlineStr">
        <is>
          <t>Grupo F</t>
        </is>
      </c>
      <c r="C475" t="inlineStr">
        <is>
          <t>TUN</t>
        </is>
      </c>
      <c r="D475" t="inlineStr">
        <is>
          <t>Tunisia</t>
        </is>
      </c>
      <c r="E475" t="inlineStr">
        <is>
          <t>TUN5</t>
        </is>
      </c>
      <c r="F475" t="inlineStr">
        <is>
          <t>Montassar Talbi - Tunisia</t>
        </is>
      </c>
      <c r="G475" t="inlineStr">
        <is>
          <t>Base</t>
        </is>
      </c>
      <c r="I475" t="n">
        <v>0</v>
      </c>
    </row>
    <row r="476">
      <c r="A476">
        <f>CHOOSE(MATCH(Config!$B$2,{"PT";"EN"},0),"Seleção","Team")</f>
        <v/>
      </c>
      <c r="B476" t="inlineStr">
        <is>
          <t>Grupo F</t>
        </is>
      </c>
      <c r="C476" t="inlineStr">
        <is>
          <t>TUN</t>
        </is>
      </c>
      <c r="D476" t="inlineStr">
        <is>
          <t>Tunisia</t>
        </is>
      </c>
      <c r="E476" t="inlineStr">
        <is>
          <t>TUN6</t>
        </is>
      </c>
      <c r="F476" t="inlineStr">
        <is>
          <t>Yassine Meriah - Tunisia</t>
        </is>
      </c>
      <c r="G476" t="inlineStr">
        <is>
          <t>Base</t>
        </is>
      </c>
      <c r="I476" t="n">
        <v>0</v>
      </c>
    </row>
    <row r="477">
      <c r="A477">
        <f>CHOOSE(MATCH(Config!$B$2,{"PT";"EN"},0),"Seleção","Team")</f>
        <v/>
      </c>
      <c r="B477" t="inlineStr">
        <is>
          <t>Grupo F</t>
        </is>
      </c>
      <c r="C477" t="inlineStr">
        <is>
          <t>TUN</t>
        </is>
      </c>
      <c r="D477" t="inlineStr">
        <is>
          <t>Tunisia</t>
        </is>
      </c>
      <c r="E477" t="inlineStr">
        <is>
          <t>TUN7</t>
        </is>
      </c>
      <c r="F477" t="inlineStr">
        <is>
          <t>Ali Abdi - Tunisia</t>
        </is>
      </c>
      <c r="G477" t="inlineStr">
        <is>
          <t>Base</t>
        </is>
      </c>
      <c r="I477" t="n">
        <v>0</v>
      </c>
    </row>
    <row r="478">
      <c r="A478">
        <f>CHOOSE(MATCH(Config!$B$2,{"PT";"EN"},0),"Seleção","Team")</f>
        <v/>
      </c>
      <c r="B478" t="inlineStr">
        <is>
          <t>Grupo F</t>
        </is>
      </c>
      <c r="C478" t="inlineStr">
        <is>
          <t>TUN</t>
        </is>
      </c>
      <c r="D478" t="inlineStr">
        <is>
          <t>Tunisia</t>
        </is>
      </c>
      <c r="E478" t="inlineStr">
        <is>
          <t>TUN8</t>
        </is>
      </c>
      <c r="F478" t="inlineStr">
        <is>
          <t>Dylan Bronn - Tunisia</t>
        </is>
      </c>
      <c r="G478" t="inlineStr">
        <is>
          <t>Base</t>
        </is>
      </c>
      <c r="I478" t="n">
        <v>0</v>
      </c>
    </row>
    <row r="479">
      <c r="A479">
        <f>CHOOSE(MATCH(Config!$B$2,{"PT";"EN"},0),"Seleção","Team")</f>
        <v/>
      </c>
      <c r="B479" t="inlineStr">
        <is>
          <t>Grupo F</t>
        </is>
      </c>
      <c r="C479" t="inlineStr">
        <is>
          <t>TUN</t>
        </is>
      </c>
      <c r="D479" t="inlineStr">
        <is>
          <t>Tunisia</t>
        </is>
      </c>
      <c r="E479" t="inlineStr">
        <is>
          <t>TUN9</t>
        </is>
      </c>
      <c r="F479" t="inlineStr">
        <is>
          <t>Ellyes Skhiri - Tunisia</t>
        </is>
      </c>
      <c r="G479" t="inlineStr">
        <is>
          <t>Base</t>
        </is>
      </c>
      <c r="I479" t="n">
        <v>0</v>
      </c>
    </row>
    <row r="480">
      <c r="A480">
        <f>CHOOSE(MATCH(Config!$B$2,{"PT";"EN"},0),"Seleção","Team")</f>
        <v/>
      </c>
      <c r="B480" t="inlineStr">
        <is>
          <t>Grupo F</t>
        </is>
      </c>
      <c r="C480" t="inlineStr">
        <is>
          <t>TUN</t>
        </is>
      </c>
      <c r="D480" t="inlineStr">
        <is>
          <t>Tunisia</t>
        </is>
      </c>
      <c r="E480" t="inlineStr">
        <is>
          <t>TUN10</t>
        </is>
      </c>
      <c r="F480" t="inlineStr">
        <is>
          <t>Aissa Laidouni - Tunisia</t>
        </is>
      </c>
      <c r="G480" t="inlineStr">
        <is>
          <t>Base</t>
        </is>
      </c>
      <c r="I480" t="n">
        <v>0</v>
      </c>
    </row>
    <row r="481">
      <c r="A481">
        <f>CHOOSE(MATCH(Config!$B$2,{"PT";"EN"},0),"Seleção","Team")</f>
        <v/>
      </c>
      <c r="B481" t="inlineStr">
        <is>
          <t>Grupo F</t>
        </is>
      </c>
      <c r="C481" t="inlineStr">
        <is>
          <t>TUN</t>
        </is>
      </c>
      <c r="D481" t="inlineStr">
        <is>
          <t>Tunisia</t>
        </is>
      </c>
      <c r="E481" t="inlineStr">
        <is>
          <t>TUN11</t>
        </is>
      </c>
      <c r="F481" t="inlineStr">
        <is>
          <t>Ferjani Sassi - Tunisia</t>
        </is>
      </c>
      <c r="G481" t="inlineStr">
        <is>
          <t>Base</t>
        </is>
      </c>
      <c r="I481" t="n">
        <v>0</v>
      </c>
    </row>
    <row r="482">
      <c r="A482">
        <f>CHOOSE(MATCH(Config!$B$2,{"PT";"EN"},0),"Seleção","Team")</f>
        <v/>
      </c>
      <c r="B482" t="inlineStr">
        <is>
          <t>Grupo F</t>
        </is>
      </c>
      <c r="C482" t="inlineStr">
        <is>
          <t>TUN</t>
        </is>
      </c>
      <c r="D482" t="inlineStr">
        <is>
          <t>Tunisia</t>
        </is>
      </c>
      <c r="E482" t="inlineStr">
        <is>
          <t>TUN12</t>
        </is>
      </c>
      <c r="F482" t="inlineStr">
        <is>
          <t>Mohamed Ali Ben Romdhane - Tunisia</t>
        </is>
      </c>
      <c r="G482" t="inlineStr">
        <is>
          <t>Base</t>
        </is>
      </c>
      <c r="I482" t="n">
        <v>0</v>
      </c>
    </row>
    <row r="483">
      <c r="A483">
        <f>CHOOSE(MATCH(Config!$B$2,{"PT";"EN"},0),"Seleção","Team")</f>
        <v/>
      </c>
      <c r="B483" t="inlineStr">
        <is>
          <t>Grupo F</t>
        </is>
      </c>
      <c r="C483" t="inlineStr">
        <is>
          <t>TUN</t>
        </is>
      </c>
      <c r="D483" t="inlineStr">
        <is>
          <t>Tunisia</t>
        </is>
      </c>
      <c r="E483" t="inlineStr">
        <is>
          <t>TUN13</t>
        </is>
      </c>
      <c r="F483" t="inlineStr">
        <is>
          <t>Team Photo - Tunisia</t>
        </is>
      </c>
      <c r="G483" t="inlineStr">
        <is>
          <t>Base</t>
        </is>
      </c>
      <c r="I483" t="n">
        <v>0</v>
      </c>
    </row>
    <row r="484">
      <c r="A484">
        <f>CHOOSE(MATCH(Config!$B$2,{"PT";"EN"},0),"Seleção","Team")</f>
        <v/>
      </c>
      <c r="B484" t="inlineStr">
        <is>
          <t>Grupo F</t>
        </is>
      </c>
      <c r="C484" t="inlineStr">
        <is>
          <t>TUN</t>
        </is>
      </c>
      <c r="D484" t="inlineStr">
        <is>
          <t>Tunisia</t>
        </is>
      </c>
      <c r="E484" t="inlineStr">
        <is>
          <t>TUN14</t>
        </is>
      </c>
      <c r="F484" t="inlineStr">
        <is>
          <t>Hannibal Mejbri - Tunisia</t>
        </is>
      </c>
      <c r="G484" t="inlineStr">
        <is>
          <t>Base</t>
        </is>
      </c>
      <c r="I484" t="n">
        <v>0</v>
      </c>
    </row>
    <row r="485">
      <c r="A485">
        <f>CHOOSE(MATCH(Config!$B$2,{"PT";"EN"},0),"Seleção","Team")</f>
        <v/>
      </c>
      <c r="B485" t="inlineStr">
        <is>
          <t>Grupo F</t>
        </is>
      </c>
      <c r="C485" t="inlineStr">
        <is>
          <t>TUN</t>
        </is>
      </c>
      <c r="D485" t="inlineStr">
        <is>
          <t>Tunisia</t>
        </is>
      </c>
      <c r="E485" t="inlineStr">
        <is>
          <t>TUN15</t>
        </is>
      </c>
      <c r="F485" t="inlineStr">
        <is>
          <t>Elias Achouri - Tunisia</t>
        </is>
      </c>
      <c r="G485" t="inlineStr">
        <is>
          <t>Base</t>
        </is>
      </c>
      <c r="I485" t="n">
        <v>0</v>
      </c>
    </row>
    <row r="486">
      <c r="A486">
        <f>CHOOSE(MATCH(Config!$B$2,{"PT";"EN"},0),"Seleção","Team")</f>
        <v/>
      </c>
      <c r="B486" t="inlineStr">
        <is>
          <t>Grupo F</t>
        </is>
      </c>
      <c r="C486" t="inlineStr">
        <is>
          <t>TUN</t>
        </is>
      </c>
      <c r="D486" t="inlineStr">
        <is>
          <t>Tunisia</t>
        </is>
      </c>
      <c r="E486" t="inlineStr">
        <is>
          <t>TUN16</t>
        </is>
      </c>
      <c r="F486" t="inlineStr">
        <is>
          <t>Elias Saad - Tunisia</t>
        </is>
      </c>
      <c r="G486" t="inlineStr">
        <is>
          <t>Base</t>
        </is>
      </c>
      <c r="I486" t="n">
        <v>0</v>
      </c>
    </row>
    <row r="487">
      <c r="A487">
        <f>CHOOSE(MATCH(Config!$B$2,{"PT";"EN"},0),"Seleção","Team")</f>
        <v/>
      </c>
      <c r="B487" t="inlineStr">
        <is>
          <t>Grupo F</t>
        </is>
      </c>
      <c r="C487" t="inlineStr">
        <is>
          <t>TUN</t>
        </is>
      </c>
      <c r="D487" t="inlineStr">
        <is>
          <t>Tunisia</t>
        </is>
      </c>
      <c r="E487" t="inlineStr">
        <is>
          <t>TUN17</t>
        </is>
      </c>
      <c r="F487" t="inlineStr">
        <is>
          <t>Hazem Mastouri - Tunisia</t>
        </is>
      </c>
      <c r="G487" t="inlineStr">
        <is>
          <t>Base</t>
        </is>
      </c>
      <c r="I487" t="n">
        <v>0</v>
      </c>
    </row>
    <row r="488">
      <c r="A488">
        <f>CHOOSE(MATCH(Config!$B$2,{"PT";"EN"},0),"Seleção","Team")</f>
        <v/>
      </c>
      <c r="B488" t="inlineStr">
        <is>
          <t>Grupo F</t>
        </is>
      </c>
      <c r="C488" t="inlineStr">
        <is>
          <t>TUN</t>
        </is>
      </c>
      <c r="D488" t="inlineStr">
        <is>
          <t>Tunisia</t>
        </is>
      </c>
      <c r="E488" t="inlineStr">
        <is>
          <t>TUN18</t>
        </is>
      </c>
      <c r="F488" t="inlineStr">
        <is>
          <t>Ismael Gharbi - Tunisia</t>
        </is>
      </c>
      <c r="G488" t="inlineStr">
        <is>
          <t>Base</t>
        </is>
      </c>
      <c r="I488" t="n">
        <v>0</v>
      </c>
    </row>
    <row r="489">
      <c r="A489">
        <f>CHOOSE(MATCH(Config!$B$2,{"PT";"EN"},0),"Seleção","Team")</f>
        <v/>
      </c>
      <c r="B489" t="inlineStr">
        <is>
          <t>Grupo F</t>
        </is>
      </c>
      <c r="C489" t="inlineStr">
        <is>
          <t>TUN</t>
        </is>
      </c>
      <c r="D489" t="inlineStr">
        <is>
          <t>Tunisia</t>
        </is>
      </c>
      <c r="E489" t="inlineStr">
        <is>
          <t>TUN19</t>
        </is>
      </c>
      <c r="F489" t="inlineStr">
        <is>
          <t>Sayfallah Ltaief - Tunisia</t>
        </is>
      </c>
      <c r="G489" t="inlineStr">
        <is>
          <t>Base</t>
        </is>
      </c>
      <c r="I489" t="n">
        <v>0</v>
      </c>
    </row>
    <row r="490">
      <c r="A490">
        <f>CHOOSE(MATCH(Config!$B$2,{"PT";"EN"},0),"Seleção","Team")</f>
        <v/>
      </c>
      <c r="B490" t="inlineStr">
        <is>
          <t>Grupo F</t>
        </is>
      </c>
      <c r="C490" t="inlineStr">
        <is>
          <t>TUN</t>
        </is>
      </c>
      <c r="D490" t="inlineStr">
        <is>
          <t>Tunisia</t>
        </is>
      </c>
      <c r="E490" t="inlineStr">
        <is>
          <t>TUN20</t>
        </is>
      </c>
      <c r="F490" t="inlineStr">
        <is>
          <t>Naim Sliti - Tunisia</t>
        </is>
      </c>
      <c r="G490" t="inlineStr">
        <is>
          <t>Base</t>
        </is>
      </c>
      <c r="I490" t="n">
        <v>0</v>
      </c>
    </row>
    <row r="491">
      <c r="A491">
        <f>CHOOSE(MATCH(Config!$B$2,{"PT";"EN"},0),"Seleção","Team")</f>
        <v/>
      </c>
      <c r="B491" t="inlineStr">
        <is>
          <t>Grupo G</t>
        </is>
      </c>
      <c r="C491" t="inlineStr">
        <is>
          <t>BEL</t>
        </is>
      </c>
      <c r="D491" t="inlineStr">
        <is>
          <t>Belgium</t>
        </is>
      </c>
      <c r="E491" t="inlineStr">
        <is>
          <t>BEL1</t>
        </is>
      </c>
      <c r="F491" t="inlineStr">
        <is>
          <t>Team Logo - Belgium FOIL</t>
        </is>
      </c>
      <c r="G491" t="inlineStr">
        <is>
          <t>FOIL</t>
        </is>
      </c>
      <c r="I491" t="n">
        <v>0</v>
      </c>
    </row>
    <row r="492">
      <c r="A492">
        <f>CHOOSE(MATCH(Config!$B$2,{"PT";"EN"},0),"Seleção","Team")</f>
        <v/>
      </c>
      <c r="B492" t="inlineStr">
        <is>
          <t>Grupo G</t>
        </is>
      </c>
      <c r="C492" t="inlineStr">
        <is>
          <t>BEL</t>
        </is>
      </c>
      <c r="D492" t="inlineStr">
        <is>
          <t>Belgium</t>
        </is>
      </c>
      <c r="E492" t="inlineStr">
        <is>
          <t>BEL2</t>
        </is>
      </c>
      <c r="F492" t="inlineStr">
        <is>
          <t>Thibaut Courtois - Belgium</t>
        </is>
      </c>
      <c r="G492" t="inlineStr">
        <is>
          <t>Base</t>
        </is>
      </c>
      <c r="I492" t="n">
        <v>0</v>
      </c>
    </row>
    <row r="493">
      <c r="A493">
        <f>CHOOSE(MATCH(Config!$B$2,{"PT";"EN"},0),"Seleção","Team")</f>
        <v/>
      </c>
      <c r="B493" t="inlineStr">
        <is>
          <t>Grupo G</t>
        </is>
      </c>
      <c r="C493" t="inlineStr">
        <is>
          <t>BEL</t>
        </is>
      </c>
      <c r="D493" t="inlineStr">
        <is>
          <t>Belgium</t>
        </is>
      </c>
      <c r="E493" t="inlineStr">
        <is>
          <t>BEL3</t>
        </is>
      </c>
      <c r="F493" t="inlineStr">
        <is>
          <t>Arthur Theate - Belgium</t>
        </is>
      </c>
      <c r="G493" t="inlineStr">
        <is>
          <t>Base</t>
        </is>
      </c>
      <c r="I493" t="n">
        <v>0</v>
      </c>
    </row>
    <row r="494">
      <c r="A494">
        <f>CHOOSE(MATCH(Config!$B$2,{"PT";"EN"},0),"Seleção","Team")</f>
        <v/>
      </c>
      <c r="B494" t="inlineStr">
        <is>
          <t>Grupo G</t>
        </is>
      </c>
      <c r="C494" t="inlineStr">
        <is>
          <t>BEL</t>
        </is>
      </c>
      <c r="D494" t="inlineStr">
        <is>
          <t>Belgium</t>
        </is>
      </c>
      <c r="E494" t="inlineStr">
        <is>
          <t>BEL4</t>
        </is>
      </c>
      <c r="F494" t="inlineStr">
        <is>
          <t>Timothy Castagne - Belgium</t>
        </is>
      </c>
      <c r="G494" t="inlineStr">
        <is>
          <t>Base</t>
        </is>
      </c>
      <c r="I494" t="n">
        <v>0</v>
      </c>
    </row>
    <row r="495">
      <c r="A495">
        <f>CHOOSE(MATCH(Config!$B$2,{"PT";"EN"},0),"Seleção","Team")</f>
        <v/>
      </c>
      <c r="B495" t="inlineStr">
        <is>
          <t>Grupo G</t>
        </is>
      </c>
      <c r="C495" t="inlineStr">
        <is>
          <t>BEL</t>
        </is>
      </c>
      <c r="D495" t="inlineStr">
        <is>
          <t>Belgium</t>
        </is>
      </c>
      <c r="E495" t="inlineStr">
        <is>
          <t>BEL5</t>
        </is>
      </c>
      <c r="F495" t="inlineStr">
        <is>
          <t>Zeno Debast - Belgium</t>
        </is>
      </c>
      <c r="G495" t="inlineStr">
        <is>
          <t>Base</t>
        </is>
      </c>
      <c r="I495" t="n">
        <v>0</v>
      </c>
    </row>
    <row r="496">
      <c r="A496">
        <f>CHOOSE(MATCH(Config!$B$2,{"PT";"EN"},0),"Seleção","Team")</f>
        <v/>
      </c>
      <c r="B496" t="inlineStr">
        <is>
          <t>Grupo G</t>
        </is>
      </c>
      <c r="C496" t="inlineStr">
        <is>
          <t>BEL</t>
        </is>
      </c>
      <c r="D496" t="inlineStr">
        <is>
          <t>Belgium</t>
        </is>
      </c>
      <c r="E496" t="inlineStr">
        <is>
          <t>BEL6</t>
        </is>
      </c>
      <c r="F496" t="inlineStr">
        <is>
          <t>Brandon Mechele - Belgium</t>
        </is>
      </c>
      <c r="G496" t="inlineStr">
        <is>
          <t>Base</t>
        </is>
      </c>
      <c r="I496" t="n">
        <v>0</v>
      </c>
    </row>
    <row r="497">
      <c r="A497">
        <f>CHOOSE(MATCH(Config!$B$2,{"PT";"EN"},0),"Seleção","Team")</f>
        <v/>
      </c>
      <c r="B497" t="inlineStr">
        <is>
          <t>Grupo G</t>
        </is>
      </c>
      <c r="C497" t="inlineStr">
        <is>
          <t>BEL</t>
        </is>
      </c>
      <c r="D497" t="inlineStr">
        <is>
          <t>Belgium</t>
        </is>
      </c>
      <c r="E497" t="inlineStr">
        <is>
          <t>BEL7</t>
        </is>
      </c>
      <c r="F497" t="inlineStr">
        <is>
          <t>Maxim De Cuyper - Belgium</t>
        </is>
      </c>
      <c r="G497" t="inlineStr">
        <is>
          <t>Base</t>
        </is>
      </c>
      <c r="I497" t="n">
        <v>0</v>
      </c>
    </row>
    <row r="498">
      <c r="A498">
        <f>CHOOSE(MATCH(Config!$B$2,{"PT";"EN"},0),"Seleção","Team")</f>
        <v/>
      </c>
      <c r="B498" t="inlineStr">
        <is>
          <t>Grupo G</t>
        </is>
      </c>
      <c r="C498" t="inlineStr">
        <is>
          <t>BEL</t>
        </is>
      </c>
      <c r="D498" t="inlineStr">
        <is>
          <t>Belgium</t>
        </is>
      </c>
      <c r="E498" t="inlineStr">
        <is>
          <t>BEL8</t>
        </is>
      </c>
      <c r="F498" t="inlineStr">
        <is>
          <t>Thomas Meunier - Belgium</t>
        </is>
      </c>
      <c r="G498" t="inlineStr">
        <is>
          <t>Base</t>
        </is>
      </c>
      <c r="I498" t="n">
        <v>0</v>
      </c>
    </row>
    <row r="499">
      <c r="A499">
        <f>CHOOSE(MATCH(Config!$B$2,{"PT";"EN"},0),"Seleção","Team")</f>
        <v/>
      </c>
      <c r="B499" t="inlineStr">
        <is>
          <t>Grupo G</t>
        </is>
      </c>
      <c r="C499" t="inlineStr">
        <is>
          <t>BEL</t>
        </is>
      </c>
      <c r="D499" t="inlineStr">
        <is>
          <t>Belgium</t>
        </is>
      </c>
      <c r="E499" t="inlineStr">
        <is>
          <t>BEL9</t>
        </is>
      </c>
      <c r="F499" t="inlineStr">
        <is>
          <t>Youri Tielemans - Belgium</t>
        </is>
      </c>
      <c r="G499" t="inlineStr">
        <is>
          <t>Base</t>
        </is>
      </c>
      <c r="I499" t="n">
        <v>0</v>
      </c>
    </row>
    <row r="500">
      <c r="A500">
        <f>CHOOSE(MATCH(Config!$B$2,{"PT";"EN"},0),"Seleção","Team")</f>
        <v/>
      </c>
      <c r="B500" t="inlineStr">
        <is>
          <t>Grupo G</t>
        </is>
      </c>
      <c r="C500" t="inlineStr">
        <is>
          <t>BEL</t>
        </is>
      </c>
      <c r="D500" t="inlineStr">
        <is>
          <t>Belgium</t>
        </is>
      </c>
      <c r="E500" t="inlineStr">
        <is>
          <t>BEL10</t>
        </is>
      </c>
      <c r="F500" t="inlineStr">
        <is>
          <t>Amadou Onana - Belgium</t>
        </is>
      </c>
      <c r="G500" t="inlineStr">
        <is>
          <t>Base</t>
        </is>
      </c>
      <c r="I500" t="n">
        <v>0</v>
      </c>
    </row>
    <row r="501">
      <c r="A501">
        <f>CHOOSE(MATCH(Config!$B$2,{"PT";"EN"},0),"Seleção","Team")</f>
        <v/>
      </c>
      <c r="B501" t="inlineStr">
        <is>
          <t>Grupo G</t>
        </is>
      </c>
      <c r="C501" t="inlineStr">
        <is>
          <t>BEL</t>
        </is>
      </c>
      <c r="D501" t="inlineStr">
        <is>
          <t>Belgium</t>
        </is>
      </c>
      <c r="E501" t="inlineStr">
        <is>
          <t>BEL11</t>
        </is>
      </c>
      <c r="F501" t="inlineStr">
        <is>
          <t>Nicolas Raskin - Belgium</t>
        </is>
      </c>
      <c r="G501" t="inlineStr">
        <is>
          <t>Base</t>
        </is>
      </c>
      <c r="I501" t="n">
        <v>0</v>
      </c>
    </row>
    <row r="502">
      <c r="A502">
        <f>CHOOSE(MATCH(Config!$B$2,{"PT";"EN"},0),"Seleção","Team")</f>
        <v/>
      </c>
      <c r="B502" t="inlineStr">
        <is>
          <t>Grupo G</t>
        </is>
      </c>
      <c r="C502" t="inlineStr">
        <is>
          <t>BEL</t>
        </is>
      </c>
      <c r="D502" t="inlineStr">
        <is>
          <t>Belgium</t>
        </is>
      </c>
      <c r="E502" t="inlineStr">
        <is>
          <t>BEL12</t>
        </is>
      </c>
      <c r="F502" t="inlineStr">
        <is>
          <t>Alexis Saelemaekers - Belgium</t>
        </is>
      </c>
      <c r="G502" t="inlineStr">
        <is>
          <t>Base</t>
        </is>
      </c>
      <c r="I502" t="n">
        <v>0</v>
      </c>
    </row>
    <row r="503">
      <c r="A503">
        <f>CHOOSE(MATCH(Config!$B$2,{"PT";"EN"},0),"Seleção","Team")</f>
        <v/>
      </c>
      <c r="B503" t="inlineStr">
        <is>
          <t>Grupo G</t>
        </is>
      </c>
      <c r="C503" t="inlineStr">
        <is>
          <t>BEL</t>
        </is>
      </c>
      <c r="D503" t="inlineStr">
        <is>
          <t>Belgium</t>
        </is>
      </c>
      <c r="E503" t="inlineStr">
        <is>
          <t>BEL13</t>
        </is>
      </c>
      <c r="F503" t="inlineStr">
        <is>
          <t>Team Photo - Belgium</t>
        </is>
      </c>
      <c r="G503" t="inlineStr">
        <is>
          <t>Base</t>
        </is>
      </c>
      <c r="I503" t="n">
        <v>0</v>
      </c>
    </row>
    <row r="504">
      <c r="A504">
        <f>CHOOSE(MATCH(Config!$B$2,{"PT";"EN"},0),"Seleção","Team")</f>
        <v/>
      </c>
      <c r="B504" t="inlineStr">
        <is>
          <t>Grupo G</t>
        </is>
      </c>
      <c r="C504" t="inlineStr">
        <is>
          <t>BEL</t>
        </is>
      </c>
      <c r="D504" t="inlineStr">
        <is>
          <t>Belgium</t>
        </is>
      </c>
      <c r="E504" t="inlineStr">
        <is>
          <t>BEL14</t>
        </is>
      </c>
      <c r="F504" t="inlineStr">
        <is>
          <t>Hans Vanaken - Belgium</t>
        </is>
      </c>
      <c r="G504" t="inlineStr">
        <is>
          <t>Base</t>
        </is>
      </c>
      <c r="I504" t="n">
        <v>0</v>
      </c>
    </row>
    <row r="505">
      <c r="A505">
        <f>CHOOSE(MATCH(Config!$B$2,{"PT";"EN"},0),"Seleção","Team")</f>
        <v/>
      </c>
      <c r="B505" t="inlineStr">
        <is>
          <t>Grupo G</t>
        </is>
      </c>
      <c r="C505" t="inlineStr">
        <is>
          <t>BEL</t>
        </is>
      </c>
      <c r="D505" t="inlineStr">
        <is>
          <t>Belgium</t>
        </is>
      </c>
      <c r="E505" t="inlineStr">
        <is>
          <t>BEL15</t>
        </is>
      </c>
      <c r="F505" t="inlineStr">
        <is>
          <t>Kevin De Bruyne - Belgium</t>
        </is>
      </c>
      <c r="G505" t="inlineStr">
        <is>
          <t>Base</t>
        </is>
      </c>
      <c r="I505" t="n">
        <v>0</v>
      </c>
    </row>
    <row r="506">
      <c r="A506">
        <f>CHOOSE(MATCH(Config!$B$2,{"PT";"EN"},0),"Seleção","Team")</f>
        <v/>
      </c>
      <c r="B506" t="inlineStr">
        <is>
          <t>Grupo G</t>
        </is>
      </c>
      <c r="C506" t="inlineStr">
        <is>
          <t>BEL</t>
        </is>
      </c>
      <c r="D506" t="inlineStr">
        <is>
          <t>Belgium</t>
        </is>
      </c>
      <c r="E506" t="inlineStr">
        <is>
          <t>BEL16</t>
        </is>
      </c>
      <c r="F506" t="inlineStr">
        <is>
          <t>Jérémy Doku - Belgium</t>
        </is>
      </c>
      <c r="G506" t="inlineStr">
        <is>
          <t>Base</t>
        </is>
      </c>
      <c r="I506" t="n">
        <v>0</v>
      </c>
    </row>
    <row r="507">
      <c r="A507">
        <f>CHOOSE(MATCH(Config!$B$2,{"PT";"EN"},0),"Seleção","Team")</f>
        <v/>
      </c>
      <c r="B507" t="inlineStr">
        <is>
          <t>Grupo G</t>
        </is>
      </c>
      <c r="C507" t="inlineStr">
        <is>
          <t>BEL</t>
        </is>
      </c>
      <c r="D507" t="inlineStr">
        <is>
          <t>Belgium</t>
        </is>
      </c>
      <c r="E507" t="inlineStr">
        <is>
          <t>BEL17</t>
        </is>
      </c>
      <c r="F507" t="inlineStr">
        <is>
          <t>Charles De Ketelaere - Belgium</t>
        </is>
      </c>
      <c r="G507" t="inlineStr">
        <is>
          <t>Base</t>
        </is>
      </c>
      <c r="I507" t="n">
        <v>0</v>
      </c>
    </row>
    <row r="508">
      <c r="A508">
        <f>CHOOSE(MATCH(Config!$B$2,{"PT";"EN"},0),"Seleção","Team")</f>
        <v/>
      </c>
      <c r="B508" t="inlineStr">
        <is>
          <t>Grupo G</t>
        </is>
      </c>
      <c r="C508" t="inlineStr">
        <is>
          <t>BEL</t>
        </is>
      </c>
      <c r="D508" t="inlineStr">
        <is>
          <t>Belgium</t>
        </is>
      </c>
      <c r="E508" t="inlineStr">
        <is>
          <t>BEL18</t>
        </is>
      </c>
      <c r="F508" t="inlineStr">
        <is>
          <t>Leandro Trossard - Belgium</t>
        </is>
      </c>
      <c r="G508" t="inlineStr">
        <is>
          <t>Base</t>
        </is>
      </c>
      <c r="I508" t="n">
        <v>0</v>
      </c>
    </row>
    <row r="509">
      <c r="A509">
        <f>CHOOSE(MATCH(Config!$B$2,{"PT";"EN"},0),"Seleção","Team")</f>
        <v/>
      </c>
      <c r="B509" t="inlineStr">
        <is>
          <t>Grupo G</t>
        </is>
      </c>
      <c r="C509" t="inlineStr">
        <is>
          <t>BEL</t>
        </is>
      </c>
      <c r="D509" t="inlineStr">
        <is>
          <t>Belgium</t>
        </is>
      </c>
      <c r="E509" t="inlineStr">
        <is>
          <t>BEL19</t>
        </is>
      </c>
      <c r="F509" t="inlineStr">
        <is>
          <t>Loïs Openda - Belgium</t>
        </is>
      </c>
      <c r="G509" t="inlineStr">
        <is>
          <t>Base</t>
        </is>
      </c>
      <c r="I509" t="n">
        <v>0</v>
      </c>
    </row>
    <row r="510">
      <c r="A510">
        <f>CHOOSE(MATCH(Config!$B$2,{"PT";"EN"},0),"Seleção","Team")</f>
        <v/>
      </c>
      <c r="B510" t="inlineStr">
        <is>
          <t>Grupo G</t>
        </is>
      </c>
      <c r="C510" t="inlineStr">
        <is>
          <t>BEL</t>
        </is>
      </c>
      <c r="D510" t="inlineStr">
        <is>
          <t>Belgium</t>
        </is>
      </c>
      <c r="E510" t="inlineStr">
        <is>
          <t>BEL20</t>
        </is>
      </c>
      <c r="F510" t="inlineStr">
        <is>
          <t>Romelu Lukaku - Belgium</t>
        </is>
      </c>
      <c r="G510" t="inlineStr">
        <is>
          <t>Base</t>
        </is>
      </c>
      <c r="I510" t="n">
        <v>0</v>
      </c>
    </row>
    <row r="511">
      <c r="A511">
        <f>CHOOSE(MATCH(Config!$B$2,{"PT";"EN"},0),"Seleção","Team")</f>
        <v/>
      </c>
      <c r="B511" t="inlineStr">
        <is>
          <t>Grupo G</t>
        </is>
      </c>
      <c r="C511" t="inlineStr">
        <is>
          <t>EGY</t>
        </is>
      </c>
      <c r="D511" t="inlineStr">
        <is>
          <t>Egypt</t>
        </is>
      </c>
      <c r="E511" t="inlineStr">
        <is>
          <t>EGY1</t>
        </is>
      </c>
      <c r="F511" t="inlineStr">
        <is>
          <t>Team Logo - Egypt FOIL</t>
        </is>
      </c>
      <c r="G511" t="inlineStr">
        <is>
          <t>FOIL</t>
        </is>
      </c>
      <c r="I511" t="n">
        <v>0</v>
      </c>
    </row>
    <row r="512">
      <c r="A512">
        <f>CHOOSE(MATCH(Config!$B$2,{"PT";"EN"},0),"Seleção","Team")</f>
        <v/>
      </c>
      <c r="B512" t="inlineStr">
        <is>
          <t>Grupo G</t>
        </is>
      </c>
      <c r="C512" t="inlineStr">
        <is>
          <t>EGY</t>
        </is>
      </c>
      <c r="D512" t="inlineStr">
        <is>
          <t>Egypt</t>
        </is>
      </c>
      <c r="E512" t="inlineStr">
        <is>
          <t>EGY2</t>
        </is>
      </c>
      <c r="F512" t="inlineStr">
        <is>
          <t>Mohamed El Shenawy - Egypt</t>
        </is>
      </c>
      <c r="G512" t="inlineStr">
        <is>
          <t>Base</t>
        </is>
      </c>
      <c r="I512" t="n">
        <v>0</v>
      </c>
    </row>
    <row r="513">
      <c r="A513">
        <f>CHOOSE(MATCH(Config!$B$2,{"PT";"EN"},0),"Seleção","Team")</f>
        <v/>
      </c>
      <c r="B513" t="inlineStr">
        <is>
          <t>Grupo G</t>
        </is>
      </c>
      <c r="C513" t="inlineStr">
        <is>
          <t>EGY</t>
        </is>
      </c>
      <c r="D513" t="inlineStr">
        <is>
          <t>Egypt</t>
        </is>
      </c>
      <c r="E513" t="inlineStr">
        <is>
          <t>EGY3</t>
        </is>
      </c>
      <c r="F513" t="inlineStr">
        <is>
          <t>Mohamed Hany - Egypt</t>
        </is>
      </c>
      <c r="G513" t="inlineStr">
        <is>
          <t>Base</t>
        </is>
      </c>
      <c r="I513" t="n">
        <v>0</v>
      </c>
    </row>
    <row r="514">
      <c r="A514">
        <f>CHOOSE(MATCH(Config!$B$2,{"PT";"EN"},0),"Seleção","Team")</f>
        <v/>
      </c>
      <c r="B514" t="inlineStr">
        <is>
          <t>Grupo G</t>
        </is>
      </c>
      <c r="C514" t="inlineStr">
        <is>
          <t>EGY</t>
        </is>
      </c>
      <c r="D514" t="inlineStr">
        <is>
          <t>Egypt</t>
        </is>
      </c>
      <c r="E514" t="inlineStr">
        <is>
          <t>EGY4</t>
        </is>
      </c>
      <c r="F514" t="inlineStr">
        <is>
          <t>Mohamed Hamdy - Egypt</t>
        </is>
      </c>
      <c r="G514" t="inlineStr">
        <is>
          <t>Base</t>
        </is>
      </c>
      <c r="I514" t="n">
        <v>0</v>
      </c>
    </row>
    <row r="515">
      <c r="A515">
        <f>CHOOSE(MATCH(Config!$B$2,{"PT";"EN"},0),"Seleção","Team")</f>
        <v/>
      </c>
      <c r="B515" t="inlineStr">
        <is>
          <t>Grupo G</t>
        </is>
      </c>
      <c r="C515" t="inlineStr">
        <is>
          <t>EGY</t>
        </is>
      </c>
      <c r="D515" t="inlineStr">
        <is>
          <t>Egypt</t>
        </is>
      </c>
      <c r="E515" t="inlineStr">
        <is>
          <t>EGY5</t>
        </is>
      </c>
      <c r="F515" t="inlineStr">
        <is>
          <t>Yasser Ibrahim - Egypt</t>
        </is>
      </c>
      <c r="G515" t="inlineStr">
        <is>
          <t>Base</t>
        </is>
      </c>
      <c r="I515" t="n">
        <v>0</v>
      </c>
    </row>
    <row r="516">
      <c r="A516">
        <f>CHOOSE(MATCH(Config!$B$2,{"PT";"EN"},0),"Seleção","Team")</f>
        <v/>
      </c>
      <c r="B516" t="inlineStr">
        <is>
          <t>Grupo G</t>
        </is>
      </c>
      <c r="C516" t="inlineStr">
        <is>
          <t>EGY</t>
        </is>
      </c>
      <c r="D516" t="inlineStr">
        <is>
          <t>Egypt</t>
        </is>
      </c>
      <c r="E516" t="inlineStr">
        <is>
          <t>EGY6</t>
        </is>
      </c>
      <c r="F516" t="inlineStr">
        <is>
          <t>Khaled Sobhi - Egypt</t>
        </is>
      </c>
      <c r="G516" t="inlineStr">
        <is>
          <t>Base</t>
        </is>
      </c>
      <c r="I516" t="n">
        <v>0</v>
      </c>
    </row>
    <row r="517">
      <c r="A517">
        <f>CHOOSE(MATCH(Config!$B$2,{"PT";"EN"},0),"Seleção","Team")</f>
        <v/>
      </c>
      <c r="B517" t="inlineStr">
        <is>
          <t>Grupo G</t>
        </is>
      </c>
      <c r="C517" t="inlineStr">
        <is>
          <t>EGY</t>
        </is>
      </c>
      <c r="D517" t="inlineStr">
        <is>
          <t>Egypt</t>
        </is>
      </c>
      <c r="E517" t="inlineStr">
        <is>
          <t>EGY7</t>
        </is>
      </c>
      <c r="F517" t="inlineStr">
        <is>
          <t>Ramy Rabia - Egypt</t>
        </is>
      </c>
      <c r="G517" t="inlineStr">
        <is>
          <t>Base</t>
        </is>
      </c>
      <c r="I517" t="n">
        <v>0</v>
      </c>
    </row>
    <row r="518">
      <c r="A518">
        <f>CHOOSE(MATCH(Config!$B$2,{"PT";"EN"},0),"Seleção","Team")</f>
        <v/>
      </c>
      <c r="B518" t="inlineStr">
        <is>
          <t>Grupo G</t>
        </is>
      </c>
      <c r="C518" t="inlineStr">
        <is>
          <t>EGY</t>
        </is>
      </c>
      <c r="D518" t="inlineStr">
        <is>
          <t>Egypt</t>
        </is>
      </c>
      <c r="E518" t="inlineStr">
        <is>
          <t>EGY8</t>
        </is>
      </c>
      <c r="F518" t="inlineStr">
        <is>
          <t>Hossam Abdelmaguid - Egypt</t>
        </is>
      </c>
      <c r="G518" t="inlineStr">
        <is>
          <t>Base</t>
        </is>
      </c>
      <c r="I518" t="n">
        <v>0</v>
      </c>
    </row>
    <row r="519">
      <c r="A519">
        <f>CHOOSE(MATCH(Config!$B$2,{"PT";"EN"},0),"Seleção","Team")</f>
        <v/>
      </c>
      <c r="B519" t="inlineStr">
        <is>
          <t>Grupo G</t>
        </is>
      </c>
      <c r="C519" t="inlineStr">
        <is>
          <t>EGY</t>
        </is>
      </c>
      <c r="D519" t="inlineStr">
        <is>
          <t>Egypt</t>
        </is>
      </c>
      <c r="E519" t="inlineStr">
        <is>
          <t>EGY9</t>
        </is>
      </c>
      <c r="F519" t="inlineStr">
        <is>
          <t>Ahmed Fatouh - Egypt</t>
        </is>
      </c>
      <c r="G519" t="inlineStr">
        <is>
          <t>Base</t>
        </is>
      </c>
      <c r="I519" t="n">
        <v>0</v>
      </c>
    </row>
    <row r="520">
      <c r="A520">
        <f>CHOOSE(MATCH(Config!$B$2,{"PT";"EN"},0),"Seleção","Team")</f>
        <v/>
      </c>
      <c r="B520" t="inlineStr">
        <is>
          <t>Grupo G</t>
        </is>
      </c>
      <c r="C520" t="inlineStr">
        <is>
          <t>EGY</t>
        </is>
      </c>
      <c r="D520" t="inlineStr">
        <is>
          <t>Egypt</t>
        </is>
      </c>
      <c r="E520" t="inlineStr">
        <is>
          <t>EGY10</t>
        </is>
      </c>
      <c r="F520" t="inlineStr">
        <is>
          <t>Marwan Attia - Egypt</t>
        </is>
      </c>
      <c r="G520" t="inlineStr">
        <is>
          <t>Base</t>
        </is>
      </c>
      <c r="I520" t="n">
        <v>0</v>
      </c>
    </row>
    <row r="521">
      <c r="A521">
        <f>CHOOSE(MATCH(Config!$B$2,{"PT";"EN"},0),"Seleção","Team")</f>
        <v/>
      </c>
      <c r="B521" t="inlineStr">
        <is>
          <t>Grupo G</t>
        </is>
      </c>
      <c r="C521" t="inlineStr">
        <is>
          <t>EGY</t>
        </is>
      </c>
      <c r="D521" t="inlineStr">
        <is>
          <t>Egypt</t>
        </is>
      </c>
      <c r="E521" t="inlineStr">
        <is>
          <t>EGY11</t>
        </is>
      </c>
      <c r="F521" t="inlineStr">
        <is>
          <t>Zizo - Egypt</t>
        </is>
      </c>
      <c r="G521" t="inlineStr">
        <is>
          <t>Base</t>
        </is>
      </c>
      <c r="I521" t="n">
        <v>0</v>
      </c>
    </row>
    <row r="522">
      <c r="A522">
        <f>CHOOSE(MATCH(Config!$B$2,{"PT";"EN"},0),"Seleção","Team")</f>
        <v/>
      </c>
      <c r="B522" t="inlineStr">
        <is>
          <t>Grupo G</t>
        </is>
      </c>
      <c r="C522" t="inlineStr">
        <is>
          <t>EGY</t>
        </is>
      </c>
      <c r="D522" t="inlineStr">
        <is>
          <t>Egypt</t>
        </is>
      </c>
      <c r="E522" t="inlineStr">
        <is>
          <t>EGY12</t>
        </is>
      </c>
      <c r="F522" t="inlineStr">
        <is>
          <t>Hamdy Fathy - Egypt</t>
        </is>
      </c>
      <c r="G522" t="inlineStr">
        <is>
          <t>Base</t>
        </is>
      </c>
      <c r="I522" t="n">
        <v>0</v>
      </c>
    </row>
    <row r="523">
      <c r="A523">
        <f>CHOOSE(MATCH(Config!$B$2,{"PT";"EN"},0),"Seleção","Team")</f>
        <v/>
      </c>
      <c r="B523" t="inlineStr">
        <is>
          <t>Grupo G</t>
        </is>
      </c>
      <c r="C523" t="inlineStr">
        <is>
          <t>EGY</t>
        </is>
      </c>
      <c r="D523" t="inlineStr">
        <is>
          <t>Egypt</t>
        </is>
      </c>
      <c r="E523" t="inlineStr">
        <is>
          <t>EGY13</t>
        </is>
      </c>
      <c r="F523" t="inlineStr">
        <is>
          <t>Team Photo - Egypt</t>
        </is>
      </c>
      <c r="G523" t="inlineStr">
        <is>
          <t>Base</t>
        </is>
      </c>
      <c r="I523" t="n">
        <v>0</v>
      </c>
    </row>
    <row r="524">
      <c r="A524">
        <f>CHOOSE(MATCH(Config!$B$2,{"PT";"EN"},0),"Seleção","Team")</f>
        <v/>
      </c>
      <c r="B524" t="inlineStr">
        <is>
          <t>Grupo G</t>
        </is>
      </c>
      <c r="C524" t="inlineStr">
        <is>
          <t>EGY</t>
        </is>
      </c>
      <c r="D524" t="inlineStr">
        <is>
          <t>Egypt</t>
        </is>
      </c>
      <c r="E524" t="inlineStr">
        <is>
          <t>EGY14</t>
        </is>
      </c>
      <c r="F524" t="inlineStr">
        <is>
          <t>Mohamed Lasheen - Egypt</t>
        </is>
      </c>
      <c r="G524" t="inlineStr">
        <is>
          <t>Base</t>
        </is>
      </c>
      <c r="I524" t="n">
        <v>0</v>
      </c>
    </row>
    <row r="525">
      <c r="A525">
        <f>CHOOSE(MATCH(Config!$B$2,{"PT";"EN"},0),"Seleção","Team")</f>
        <v/>
      </c>
      <c r="B525" t="inlineStr">
        <is>
          <t>Grupo G</t>
        </is>
      </c>
      <c r="C525" t="inlineStr">
        <is>
          <t>EGY</t>
        </is>
      </c>
      <c r="D525" t="inlineStr">
        <is>
          <t>Egypt</t>
        </is>
      </c>
      <c r="E525" t="inlineStr">
        <is>
          <t>EGY15</t>
        </is>
      </c>
      <c r="F525" t="inlineStr">
        <is>
          <t>Emam Ashour - Egypt</t>
        </is>
      </c>
      <c r="G525" t="inlineStr">
        <is>
          <t>Base</t>
        </is>
      </c>
      <c r="I525" t="n">
        <v>0</v>
      </c>
    </row>
    <row r="526">
      <c r="A526">
        <f>CHOOSE(MATCH(Config!$B$2,{"PT";"EN"},0),"Seleção","Team")</f>
        <v/>
      </c>
      <c r="B526" t="inlineStr">
        <is>
          <t>Grupo G</t>
        </is>
      </c>
      <c r="C526" t="inlineStr">
        <is>
          <t>EGY</t>
        </is>
      </c>
      <c r="D526" t="inlineStr">
        <is>
          <t>Egypt</t>
        </is>
      </c>
      <c r="E526" t="inlineStr">
        <is>
          <t>EGY16</t>
        </is>
      </c>
      <c r="F526" t="inlineStr">
        <is>
          <t>Osama Faisal - Egypt</t>
        </is>
      </c>
      <c r="G526" t="inlineStr">
        <is>
          <t>Base</t>
        </is>
      </c>
      <c r="I526" t="n">
        <v>0</v>
      </c>
    </row>
    <row r="527">
      <c r="A527">
        <f>CHOOSE(MATCH(Config!$B$2,{"PT";"EN"},0),"Seleção","Team")</f>
        <v/>
      </c>
      <c r="B527" t="inlineStr">
        <is>
          <t>Grupo G</t>
        </is>
      </c>
      <c r="C527" t="inlineStr">
        <is>
          <t>EGY</t>
        </is>
      </c>
      <c r="D527" t="inlineStr">
        <is>
          <t>Egypt</t>
        </is>
      </c>
      <c r="E527" t="inlineStr">
        <is>
          <t>EGY17</t>
        </is>
      </c>
      <c r="F527" t="inlineStr">
        <is>
          <t>Mohamed Salah - Egypt</t>
        </is>
      </c>
      <c r="G527" t="inlineStr">
        <is>
          <t>Base</t>
        </is>
      </c>
      <c r="I527" t="n">
        <v>0</v>
      </c>
    </row>
    <row r="528">
      <c r="A528">
        <f>CHOOSE(MATCH(Config!$B$2,{"PT";"EN"},0),"Seleção","Team")</f>
        <v/>
      </c>
      <c r="B528" t="inlineStr">
        <is>
          <t>Grupo G</t>
        </is>
      </c>
      <c r="C528" t="inlineStr">
        <is>
          <t>EGY</t>
        </is>
      </c>
      <c r="D528" t="inlineStr">
        <is>
          <t>Egypt</t>
        </is>
      </c>
      <c r="E528" t="inlineStr">
        <is>
          <t>EGY18</t>
        </is>
      </c>
      <c r="F528" t="inlineStr">
        <is>
          <t>Mostafa Mohamed - Egypt</t>
        </is>
      </c>
      <c r="G528" t="inlineStr">
        <is>
          <t>Base</t>
        </is>
      </c>
      <c r="I528" t="n">
        <v>0</v>
      </c>
    </row>
    <row r="529">
      <c r="A529">
        <f>CHOOSE(MATCH(Config!$B$2,{"PT";"EN"},0),"Seleção","Team")</f>
        <v/>
      </c>
      <c r="B529" t="inlineStr">
        <is>
          <t>Grupo G</t>
        </is>
      </c>
      <c r="C529" t="inlineStr">
        <is>
          <t>EGY</t>
        </is>
      </c>
      <c r="D529" t="inlineStr">
        <is>
          <t>Egypt</t>
        </is>
      </c>
      <c r="E529" t="inlineStr">
        <is>
          <t>EGY19</t>
        </is>
      </c>
      <c r="F529" t="inlineStr">
        <is>
          <t>Trezeguet - Egypt</t>
        </is>
      </c>
      <c r="G529" t="inlineStr">
        <is>
          <t>Base</t>
        </is>
      </c>
      <c r="I529" t="n">
        <v>0</v>
      </c>
    </row>
    <row r="530">
      <c r="A530">
        <f>CHOOSE(MATCH(Config!$B$2,{"PT";"EN"},0),"Seleção","Team")</f>
        <v/>
      </c>
      <c r="B530" t="inlineStr">
        <is>
          <t>Grupo G</t>
        </is>
      </c>
      <c r="C530" t="inlineStr">
        <is>
          <t>EGY</t>
        </is>
      </c>
      <c r="D530" t="inlineStr">
        <is>
          <t>Egypt</t>
        </is>
      </c>
      <c r="E530" t="inlineStr">
        <is>
          <t>EGY20</t>
        </is>
      </c>
      <c r="F530" t="inlineStr">
        <is>
          <t>Omar Marmoush - Egypt</t>
        </is>
      </c>
      <c r="G530" t="inlineStr">
        <is>
          <t>Base</t>
        </is>
      </c>
      <c r="I530" t="n">
        <v>0</v>
      </c>
    </row>
    <row r="531">
      <c r="A531">
        <f>CHOOSE(MATCH(Config!$B$2,{"PT";"EN"},0),"Seleção","Team")</f>
        <v/>
      </c>
      <c r="B531" t="inlineStr">
        <is>
          <t>Grupo G</t>
        </is>
      </c>
      <c r="C531" t="inlineStr">
        <is>
          <t>IRN</t>
        </is>
      </c>
      <c r="D531" t="inlineStr">
        <is>
          <t>Iran</t>
        </is>
      </c>
      <c r="E531" t="inlineStr">
        <is>
          <t>IRN1</t>
        </is>
      </c>
      <c r="F531" t="inlineStr">
        <is>
          <t>Team Logo - Iran FOIL</t>
        </is>
      </c>
      <c r="G531" t="inlineStr">
        <is>
          <t>FOIL</t>
        </is>
      </c>
      <c r="I531" t="n">
        <v>0</v>
      </c>
    </row>
    <row r="532">
      <c r="A532">
        <f>CHOOSE(MATCH(Config!$B$2,{"PT";"EN"},0),"Seleção","Team")</f>
        <v/>
      </c>
      <c r="B532" t="inlineStr">
        <is>
          <t>Grupo G</t>
        </is>
      </c>
      <c r="C532" t="inlineStr">
        <is>
          <t>IRN</t>
        </is>
      </c>
      <c r="D532" t="inlineStr">
        <is>
          <t>Iran</t>
        </is>
      </c>
      <c r="E532" t="inlineStr">
        <is>
          <t>IRN2</t>
        </is>
      </c>
      <c r="F532" t="inlineStr">
        <is>
          <t>Alireza Beiranvand - Iran</t>
        </is>
      </c>
      <c r="G532" t="inlineStr">
        <is>
          <t>Base</t>
        </is>
      </c>
      <c r="I532" t="n">
        <v>0</v>
      </c>
    </row>
    <row r="533">
      <c r="A533">
        <f>CHOOSE(MATCH(Config!$B$2,{"PT";"EN"},0),"Seleção","Team")</f>
        <v/>
      </c>
      <c r="B533" t="inlineStr">
        <is>
          <t>Grupo G</t>
        </is>
      </c>
      <c r="C533" t="inlineStr">
        <is>
          <t>IRN</t>
        </is>
      </c>
      <c r="D533" t="inlineStr">
        <is>
          <t>Iran</t>
        </is>
      </c>
      <c r="E533" t="inlineStr">
        <is>
          <t>IRN3</t>
        </is>
      </c>
      <c r="F533" t="inlineStr">
        <is>
          <t>Morteza Pouraliganji - Iran</t>
        </is>
      </c>
      <c r="G533" t="inlineStr">
        <is>
          <t>Base</t>
        </is>
      </c>
      <c r="I533" t="n">
        <v>0</v>
      </c>
    </row>
    <row r="534">
      <c r="A534">
        <f>CHOOSE(MATCH(Config!$B$2,{"PT";"EN"},0),"Seleção","Team")</f>
        <v/>
      </c>
      <c r="B534" t="inlineStr">
        <is>
          <t>Grupo G</t>
        </is>
      </c>
      <c r="C534" t="inlineStr">
        <is>
          <t>IRN</t>
        </is>
      </c>
      <c r="D534" t="inlineStr">
        <is>
          <t>Iran</t>
        </is>
      </c>
      <c r="E534" t="inlineStr">
        <is>
          <t>IRN4</t>
        </is>
      </c>
      <c r="F534" t="inlineStr">
        <is>
          <t>Ehsan Hajsafi - Iran</t>
        </is>
      </c>
      <c r="G534" t="inlineStr">
        <is>
          <t>Base</t>
        </is>
      </c>
      <c r="I534" t="n">
        <v>0</v>
      </c>
    </row>
    <row r="535">
      <c r="A535">
        <f>CHOOSE(MATCH(Config!$B$2,{"PT";"EN"},0),"Seleção","Team")</f>
        <v/>
      </c>
      <c r="B535" t="inlineStr">
        <is>
          <t>Grupo G</t>
        </is>
      </c>
      <c r="C535" t="inlineStr">
        <is>
          <t>IRN</t>
        </is>
      </c>
      <c r="D535" t="inlineStr">
        <is>
          <t>Iran</t>
        </is>
      </c>
      <c r="E535" t="inlineStr">
        <is>
          <t>IRN5</t>
        </is>
      </c>
      <c r="F535" t="inlineStr">
        <is>
          <t>Milad Mohammadi - Iran</t>
        </is>
      </c>
      <c r="G535" t="inlineStr">
        <is>
          <t>Base</t>
        </is>
      </c>
      <c r="I535" t="n">
        <v>0</v>
      </c>
    </row>
    <row r="536">
      <c r="A536">
        <f>CHOOSE(MATCH(Config!$B$2,{"PT";"EN"},0),"Seleção","Team")</f>
        <v/>
      </c>
      <c r="B536" t="inlineStr">
        <is>
          <t>Grupo G</t>
        </is>
      </c>
      <c r="C536" t="inlineStr">
        <is>
          <t>IRN</t>
        </is>
      </c>
      <c r="D536" t="inlineStr">
        <is>
          <t>Iran</t>
        </is>
      </c>
      <c r="E536" t="inlineStr">
        <is>
          <t>IRN6</t>
        </is>
      </c>
      <c r="F536" t="inlineStr">
        <is>
          <t>Shojae Khalilzadeh - Iran</t>
        </is>
      </c>
      <c r="G536" t="inlineStr">
        <is>
          <t>Base</t>
        </is>
      </c>
      <c r="I536" t="n">
        <v>0</v>
      </c>
    </row>
    <row r="537">
      <c r="A537">
        <f>CHOOSE(MATCH(Config!$B$2,{"PT";"EN"},0),"Seleção","Team")</f>
        <v/>
      </c>
      <c r="B537" t="inlineStr">
        <is>
          <t>Grupo G</t>
        </is>
      </c>
      <c r="C537" t="inlineStr">
        <is>
          <t>IRN</t>
        </is>
      </c>
      <c r="D537" t="inlineStr">
        <is>
          <t>Iran</t>
        </is>
      </c>
      <c r="E537" t="inlineStr">
        <is>
          <t>IRN7</t>
        </is>
      </c>
      <c r="F537" t="inlineStr">
        <is>
          <t>Ramin Rezaeian - Iran</t>
        </is>
      </c>
      <c r="G537" t="inlineStr">
        <is>
          <t>Base</t>
        </is>
      </c>
      <c r="I537" t="n">
        <v>0</v>
      </c>
    </row>
    <row r="538">
      <c r="A538">
        <f>CHOOSE(MATCH(Config!$B$2,{"PT";"EN"},0),"Seleção","Team")</f>
        <v/>
      </c>
      <c r="B538" t="inlineStr">
        <is>
          <t>Grupo G</t>
        </is>
      </c>
      <c r="C538" t="inlineStr">
        <is>
          <t>IRN</t>
        </is>
      </c>
      <c r="D538" t="inlineStr">
        <is>
          <t>Iran</t>
        </is>
      </c>
      <c r="E538" t="inlineStr">
        <is>
          <t>IRN8</t>
        </is>
      </c>
      <c r="F538" t="inlineStr">
        <is>
          <t>Hossein Kanaani - Iran</t>
        </is>
      </c>
      <c r="G538" t="inlineStr">
        <is>
          <t>Base</t>
        </is>
      </c>
      <c r="I538" t="n">
        <v>0</v>
      </c>
    </row>
    <row r="539">
      <c r="A539">
        <f>CHOOSE(MATCH(Config!$B$2,{"PT";"EN"},0),"Seleção","Team")</f>
        <v/>
      </c>
      <c r="B539" t="inlineStr">
        <is>
          <t>Grupo G</t>
        </is>
      </c>
      <c r="C539" t="inlineStr">
        <is>
          <t>IRN</t>
        </is>
      </c>
      <c r="D539" t="inlineStr">
        <is>
          <t>Iran</t>
        </is>
      </c>
      <c r="E539" t="inlineStr">
        <is>
          <t>IRN9</t>
        </is>
      </c>
      <c r="F539" t="inlineStr">
        <is>
          <t>Sadegh Moharrami - Iran</t>
        </is>
      </c>
      <c r="G539" t="inlineStr">
        <is>
          <t>Base</t>
        </is>
      </c>
      <c r="I539" t="n">
        <v>0</v>
      </c>
    </row>
    <row r="540">
      <c r="A540">
        <f>CHOOSE(MATCH(Config!$B$2,{"PT";"EN"},0),"Seleção","Team")</f>
        <v/>
      </c>
      <c r="B540" t="inlineStr">
        <is>
          <t>Grupo G</t>
        </is>
      </c>
      <c r="C540" t="inlineStr">
        <is>
          <t>IRN</t>
        </is>
      </c>
      <c r="D540" t="inlineStr">
        <is>
          <t>Iran</t>
        </is>
      </c>
      <c r="E540" t="inlineStr">
        <is>
          <t>IRN10</t>
        </is>
      </c>
      <c r="F540" t="inlineStr">
        <is>
          <t>Saleh Hardani - Iran</t>
        </is>
      </c>
      <c r="G540" t="inlineStr">
        <is>
          <t>Base</t>
        </is>
      </c>
      <c r="I540" t="n">
        <v>0</v>
      </c>
    </row>
    <row r="541">
      <c r="A541">
        <f>CHOOSE(MATCH(Config!$B$2,{"PT";"EN"},0),"Seleção","Team")</f>
        <v/>
      </c>
      <c r="B541" t="inlineStr">
        <is>
          <t>Grupo G</t>
        </is>
      </c>
      <c r="C541" t="inlineStr">
        <is>
          <t>IRN</t>
        </is>
      </c>
      <c r="D541" t="inlineStr">
        <is>
          <t>Iran</t>
        </is>
      </c>
      <c r="E541" t="inlineStr">
        <is>
          <t>IRN11</t>
        </is>
      </c>
      <c r="F541" t="inlineStr">
        <is>
          <t>Saeed Ezatolahi - Iran</t>
        </is>
      </c>
      <c r="G541" t="inlineStr">
        <is>
          <t>Base</t>
        </is>
      </c>
      <c r="I541" t="n">
        <v>0</v>
      </c>
    </row>
    <row r="542">
      <c r="A542">
        <f>CHOOSE(MATCH(Config!$B$2,{"PT";"EN"},0),"Seleção","Team")</f>
        <v/>
      </c>
      <c r="B542" t="inlineStr">
        <is>
          <t>Grupo G</t>
        </is>
      </c>
      <c r="C542" t="inlineStr">
        <is>
          <t>IRN</t>
        </is>
      </c>
      <c r="D542" t="inlineStr">
        <is>
          <t>Iran</t>
        </is>
      </c>
      <c r="E542" t="inlineStr">
        <is>
          <t>IRN12</t>
        </is>
      </c>
      <c r="F542" t="inlineStr">
        <is>
          <t>Saman Ghoddos - Iran</t>
        </is>
      </c>
      <c r="G542" t="inlineStr">
        <is>
          <t>Base</t>
        </is>
      </c>
      <c r="I542" t="n">
        <v>0</v>
      </c>
    </row>
    <row r="543">
      <c r="A543">
        <f>CHOOSE(MATCH(Config!$B$2,{"PT";"EN"},0),"Seleção","Team")</f>
        <v/>
      </c>
      <c r="B543" t="inlineStr">
        <is>
          <t>Grupo G</t>
        </is>
      </c>
      <c r="C543" t="inlineStr">
        <is>
          <t>IRN</t>
        </is>
      </c>
      <c r="D543" t="inlineStr">
        <is>
          <t>Iran</t>
        </is>
      </c>
      <c r="E543" t="inlineStr">
        <is>
          <t>IRN13</t>
        </is>
      </c>
      <c r="F543" t="inlineStr">
        <is>
          <t>Team Photo - Iran</t>
        </is>
      </c>
      <c r="G543" t="inlineStr">
        <is>
          <t>Base</t>
        </is>
      </c>
      <c r="I543" t="n">
        <v>0</v>
      </c>
    </row>
    <row r="544">
      <c r="A544">
        <f>CHOOSE(MATCH(Config!$B$2,{"PT";"EN"},0),"Seleção","Team")</f>
        <v/>
      </c>
      <c r="B544" t="inlineStr">
        <is>
          <t>Grupo G</t>
        </is>
      </c>
      <c r="C544" t="inlineStr">
        <is>
          <t>IRN</t>
        </is>
      </c>
      <c r="D544" t="inlineStr">
        <is>
          <t>Iran</t>
        </is>
      </c>
      <c r="E544" t="inlineStr">
        <is>
          <t>IRN14</t>
        </is>
      </c>
      <c r="F544" t="inlineStr">
        <is>
          <t>Omid Noorafkan - Iran</t>
        </is>
      </c>
      <c r="G544" t="inlineStr">
        <is>
          <t>Base</t>
        </is>
      </c>
      <c r="I544" t="n">
        <v>0</v>
      </c>
    </row>
    <row r="545">
      <c r="A545">
        <f>CHOOSE(MATCH(Config!$B$2,{"PT";"EN"},0),"Seleção","Team")</f>
        <v/>
      </c>
      <c r="B545" t="inlineStr">
        <is>
          <t>Grupo G</t>
        </is>
      </c>
      <c r="C545" t="inlineStr">
        <is>
          <t>IRN</t>
        </is>
      </c>
      <c r="D545" t="inlineStr">
        <is>
          <t>Iran</t>
        </is>
      </c>
      <c r="E545" t="inlineStr">
        <is>
          <t>IRN15</t>
        </is>
      </c>
      <c r="F545" t="inlineStr">
        <is>
          <t>Roozbeh Cheshmi - Iran</t>
        </is>
      </c>
      <c r="G545" t="inlineStr">
        <is>
          <t>Base</t>
        </is>
      </c>
      <c r="I545" t="n">
        <v>0</v>
      </c>
    </row>
    <row r="546">
      <c r="A546">
        <f>CHOOSE(MATCH(Config!$B$2,{"PT";"EN"},0),"Seleção","Team")</f>
        <v/>
      </c>
      <c r="B546" t="inlineStr">
        <is>
          <t>Grupo G</t>
        </is>
      </c>
      <c r="C546" t="inlineStr">
        <is>
          <t>IRN</t>
        </is>
      </c>
      <c r="D546" t="inlineStr">
        <is>
          <t>Iran</t>
        </is>
      </c>
      <c r="E546" t="inlineStr">
        <is>
          <t>IRN16</t>
        </is>
      </c>
      <c r="F546" t="inlineStr">
        <is>
          <t>Mohammad Mohebi - Iran</t>
        </is>
      </c>
      <c r="G546" t="inlineStr">
        <is>
          <t>Base</t>
        </is>
      </c>
      <c r="I546" t="n">
        <v>0</v>
      </c>
    </row>
    <row r="547">
      <c r="A547">
        <f>CHOOSE(MATCH(Config!$B$2,{"PT";"EN"},0),"Seleção","Team")</f>
        <v/>
      </c>
      <c r="B547" t="inlineStr">
        <is>
          <t>Grupo G</t>
        </is>
      </c>
      <c r="C547" t="inlineStr">
        <is>
          <t>IRN</t>
        </is>
      </c>
      <c r="D547" t="inlineStr">
        <is>
          <t>Iran</t>
        </is>
      </c>
      <c r="E547" t="inlineStr">
        <is>
          <t>IRN17</t>
        </is>
      </c>
      <c r="F547" t="inlineStr">
        <is>
          <t>Sardar Azmoun - Iran</t>
        </is>
      </c>
      <c r="G547" t="inlineStr">
        <is>
          <t>Base</t>
        </is>
      </c>
      <c r="I547" t="n">
        <v>0</v>
      </c>
    </row>
    <row r="548">
      <c r="A548">
        <f>CHOOSE(MATCH(Config!$B$2,{"PT";"EN"},0),"Seleção","Team")</f>
        <v/>
      </c>
      <c r="B548" t="inlineStr">
        <is>
          <t>Grupo G</t>
        </is>
      </c>
      <c r="C548" t="inlineStr">
        <is>
          <t>IRN</t>
        </is>
      </c>
      <c r="D548" t="inlineStr">
        <is>
          <t>Iran</t>
        </is>
      </c>
      <c r="E548" t="inlineStr">
        <is>
          <t>IRN18</t>
        </is>
      </c>
      <c r="F548" t="inlineStr">
        <is>
          <t>Mehdi Taremi - Iran</t>
        </is>
      </c>
      <c r="G548" t="inlineStr">
        <is>
          <t>Base</t>
        </is>
      </c>
      <c r="I548" t="n">
        <v>0</v>
      </c>
    </row>
    <row r="549">
      <c r="A549">
        <f>CHOOSE(MATCH(Config!$B$2,{"PT";"EN"},0),"Seleção","Team")</f>
        <v/>
      </c>
      <c r="B549" t="inlineStr">
        <is>
          <t>Grupo G</t>
        </is>
      </c>
      <c r="C549" t="inlineStr">
        <is>
          <t>IRN</t>
        </is>
      </c>
      <c r="D549" t="inlineStr">
        <is>
          <t>Iran</t>
        </is>
      </c>
      <c r="E549" t="inlineStr">
        <is>
          <t>IRN19</t>
        </is>
      </c>
      <c r="F549" t="inlineStr">
        <is>
          <t>Alireza Jahanbakhsh - Iran</t>
        </is>
      </c>
      <c r="G549" t="inlineStr">
        <is>
          <t>Base</t>
        </is>
      </c>
      <c r="I549" t="n">
        <v>0</v>
      </c>
    </row>
    <row r="550">
      <c r="A550">
        <f>CHOOSE(MATCH(Config!$B$2,{"PT";"EN"},0),"Seleção","Team")</f>
        <v/>
      </c>
      <c r="B550" t="inlineStr">
        <is>
          <t>Grupo G</t>
        </is>
      </c>
      <c r="C550" t="inlineStr">
        <is>
          <t>IRN</t>
        </is>
      </c>
      <c r="D550" t="inlineStr">
        <is>
          <t>Iran</t>
        </is>
      </c>
      <c r="E550" t="inlineStr">
        <is>
          <t>IRN20</t>
        </is>
      </c>
      <c r="F550" t="inlineStr">
        <is>
          <t>Ali Gholizadeh - Iran</t>
        </is>
      </c>
      <c r="G550" t="inlineStr">
        <is>
          <t>Base</t>
        </is>
      </c>
      <c r="I550" t="n">
        <v>0</v>
      </c>
    </row>
    <row r="551">
      <c r="A551">
        <f>CHOOSE(MATCH(Config!$B$2,{"PT";"EN"},0),"Seleção","Team")</f>
        <v/>
      </c>
      <c r="B551" t="inlineStr">
        <is>
          <t>Grupo G</t>
        </is>
      </c>
      <c r="C551" t="inlineStr">
        <is>
          <t>NZL</t>
        </is>
      </c>
      <c r="D551" t="inlineStr">
        <is>
          <t>New Zealand</t>
        </is>
      </c>
      <c r="E551" t="inlineStr">
        <is>
          <t>NZL1</t>
        </is>
      </c>
      <c r="F551" t="inlineStr">
        <is>
          <t>Team Logo - New Zealand FOIL</t>
        </is>
      </c>
      <c r="G551" t="inlineStr">
        <is>
          <t>FOIL</t>
        </is>
      </c>
      <c r="I551" t="n">
        <v>0</v>
      </c>
    </row>
    <row r="552">
      <c r="A552">
        <f>CHOOSE(MATCH(Config!$B$2,{"PT";"EN"},0),"Seleção","Team")</f>
        <v/>
      </c>
      <c r="B552" t="inlineStr">
        <is>
          <t>Grupo G</t>
        </is>
      </c>
      <c r="C552" t="inlineStr">
        <is>
          <t>NZL</t>
        </is>
      </c>
      <c r="D552" t="inlineStr">
        <is>
          <t>New Zealand</t>
        </is>
      </c>
      <c r="E552" t="inlineStr">
        <is>
          <t>NZL2</t>
        </is>
      </c>
      <c r="F552" t="inlineStr">
        <is>
          <t>Max Crocombe Payne - New Zealand</t>
        </is>
      </c>
      <c r="G552" t="inlineStr">
        <is>
          <t>Base</t>
        </is>
      </c>
      <c r="I552" t="n">
        <v>0</v>
      </c>
    </row>
    <row r="553">
      <c r="A553">
        <f>CHOOSE(MATCH(Config!$B$2,{"PT";"EN"},0),"Seleção","Team")</f>
        <v/>
      </c>
      <c r="B553" t="inlineStr">
        <is>
          <t>Grupo G</t>
        </is>
      </c>
      <c r="C553" t="inlineStr">
        <is>
          <t>NZL</t>
        </is>
      </c>
      <c r="D553" t="inlineStr">
        <is>
          <t>New Zealand</t>
        </is>
      </c>
      <c r="E553" t="inlineStr">
        <is>
          <t>NZL3</t>
        </is>
      </c>
      <c r="F553" t="inlineStr">
        <is>
          <t>Alex Paulsen - New Zealand</t>
        </is>
      </c>
      <c r="G553" t="inlineStr">
        <is>
          <t>Base</t>
        </is>
      </c>
      <c r="I553" t="n">
        <v>0</v>
      </c>
    </row>
    <row r="554">
      <c r="A554">
        <f>CHOOSE(MATCH(Config!$B$2,{"PT";"EN"},0),"Seleção","Team")</f>
        <v/>
      </c>
      <c r="B554" t="inlineStr">
        <is>
          <t>Grupo G</t>
        </is>
      </c>
      <c r="C554" t="inlineStr">
        <is>
          <t>NZL</t>
        </is>
      </c>
      <c r="D554" t="inlineStr">
        <is>
          <t>New Zealand</t>
        </is>
      </c>
      <c r="E554" t="inlineStr">
        <is>
          <t>NZL4</t>
        </is>
      </c>
      <c r="F554" t="inlineStr">
        <is>
          <t>Michael Boxall - New Zealand</t>
        </is>
      </c>
      <c r="G554" t="inlineStr">
        <is>
          <t>Base</t>
        </is>
      </c>
      <c r="I554" t="n">
        <v>0</v>
      </c>
    </row>
    <row r="555">
      <c r="A555">
        <f>CHOOSE(MATCH(Config!$B$2,{"PT";"EN"},0),"Seleção","Team")</f>
        <v/>
      </c>
      <c r="B555" t="inlineStr">
        <is>
          <t>Grupo G</t>
        </is>
      </c>
      <c r="C555" t="inlineStr">
        <is>
          <t>NZL</t>
        </is>
      </c>
      <c r="D555" t="inlineStr">
        <is>
          <t>New Zealand</t>
        </is>
      </c>
      <c r="E555" t="inlineStr">
        <is>
          <t>NZL5</t>
        </is>
      </c>
      <c r="F555" t="inlineStr">
        <is>
          <t>Liberato Cacace - New Zealand</t>
        </is>
      </c>
      <c r="G555" t="inlineStr">
        <is>
          <t>Base</t>
        </is>
      </c>
      <c r="I555" t="n">
        <v>0</v>
      </c>
    </row>
    <row r="556">
      <c r="A556">
        <f>CHOOSE(MATCH(Config!$B$2,{"PT";"EN"},0),"Seleção","Team")</f>
        <v/>
      </c>
      <c r="B556" t="inlineStr">
        <is>
          <t>Grupo G</t>
        </is>
      </c>
      <c r="C556" t="inlineStr">
        <is>
          <t>NZL</t>
        </is>
      </c>
      <c r="D556" t="inlineStr">
        <is>
          <t>New Zealand</t>
        </is>
      </c>
      <c r="E556" t="inlineStr">
        <is>
          <t>NZL6</t>
        </is>
      </c>
      <c r="F556" t="inlineStr">
        <is>
          <t>Tim Payne - New Zealand</t>
        </is>
      </c>
      <c r="G556" t="inlineStr">
        <is>
          <t>Base</t>
        </is>
      </c>
      <c r="I556" t="n">
        <v>0</v>
      </c>
    </row>
    <row r="557">
      <c r="A557">
        <f>CHOOSE(MATCH(Config!$B$2,{"PT";"EN"},0),"Seleção","Team")</f>
        <v/>
      </c>
      <c r="B557" t="inlineStr">
        <is>
          <t>Grupo G</t>
        </is>
      </c>
      <c r="C557" t="inlineStr">
        <is>
          <t>NZL</t>
        </is>
      </c>
      <c r="D557" t="inlineStr">
        <is>
          <t>New Zealand</t>
        </is>
      </c>
      <c r="E557" t="inlineStr">
        <is>
          <t>NZL7</t>
        </is>
      </c>
      <c r="F557" t="inlineStr">
        <is>
          <t>Tyler Bindon - New Zealand</t>
        </is>
      </c>
      <c r="G557" t="inlineStr">
        <is>
          <t>Base</t>
        </is>
      </c>
      <c r="I557" t="n">
        <v>0</v>
      </c>
    </row>
    <row r="558">
      <c r="A558">
        <f>CHOOSE(MATCH(Config!$B$2,{"PT";"EN"},0),"Seleção","Team")</f>
        <v/>
      </c>
      <c r="B558" t="inlineStr">
        <is>
          <t>Grupo G</t>
        </is>
      </c>
      <c r="C558" t="inlineStr">
        <is>
          <t>NZL</t>
        </is>
      </c>
      <c r="D558" t="inlineStr">
        <is>
          <t>New Zealand</t>
        </is>
      </c>
      <c r="E558" t="inlineStr">
        <is>
          <t>NZL8</t>
        </is>
      </c>
      <c r="F558" t="inlineStr">
        <is>
          <t>Francis de Vries - New Zealand</t>
        </is>
      </c>
      <c r="G558" t="inlineStr">
        <is>
          <t>Base</t>
        </is>
      </c>
      <c r="I558" t="n">
        <v>0</v>
      </c>
    </row>
    <row r="559">
      <c r="A559">
        <f>CHOOSE(MATCH(Config!$B$2,{"PT";"EN"},0),"Seleção","Team")</f>
        <v/>
      </c>
      <c r="B559" t="inlineStr">
        <is>
          <t>Grupo G</t>
        </is>
      </c>
      <c r="C559" t="inlineStr">
        <is>
          <t>NZL</t>
        </is>
      </c>
      <c r="D559" t="inlineStr">
        <is>
          <t>New Zealand</t>
        </is>
      </c>
      <c r="E559" t="inlineStr">
        <is>
          <t>NZL9</t>
        </is>
      </c>
      <c r="F559" t="inlineStr">
        <is>
          <t>Finn Surman - New Zealand</t>
        </is>
      </c>
      <c r="G559" t="inlineStr">
        <is>
          <t>Base</t>
        </is>
      </c>
      <c r="I559" t="n">
        <v>0</v>
      </c>
    </row>
    <row r="560">
      <c r="A560">
        <f>CHOOSE(MATCH(Config!$B$2,{"PT";"EN"},0),"Seleção","Team")</f>
        <v/>
      </c>
      <c r="B560" t="inlineStr">
        <is>
          <t>Grupo G</t>
        </is>
      </c>
      <c r="C560" t="inlineStr">
        <is>
          <t>NZL</t>
        </is>
      </c>
      <c r="D560" t="inlineStr">
        <is>
          <t>New Zealand</t>
        </is>
      </c>
      <c r="E560" t="inlineStr">
        <is>
          <t>NZL10</t>
        </is>
      </c>
      <c r="F560" t="inlineStr">
        <is>
          <t>Joe Bell - New Zealand</t>
        </is>
      </c>
      <c r="G560" t="inlineStr">
        <is>
          <t>Base</t>
        </is>
      </c>
      <c r="I560" t="n">
        <v>0</v>
      </c>
    </row>
    <row r="561">
      <c r="A561">
        <f>CHOOSE(MATCH(Config!$B$2,{"PT";"EN"},0),"Seleção","Team")</f>
        <v/>
      </c>
      <c r="B561" t="inlineStr">
        <is>
          <t>Grupo G</t>
        </is>
      </c>
      <c r="C561" t="inlineStr">
        <is>
          <t>NZL</t>
        </is>
      </c>
      <c r="D561" t="inlineStr">
        <is>
          <t>New Zealand</t>
        </is>
      </c>
      <c r="E561" t="inlineStr">
        <is>
          <t>NZL11</t>
        </is>
      </c>
      <c r="F561" t="inlineStr">
        <is>
          <t>Sarpreet Singh - New Zealand</t>
        </is>
      </c>
      <c r="G561" t="inlineStr">
        <is>
          <t>Base</t>
        </is>
      </c>
      <c r="I561" t="n">
        <v>0</v>
      </c>
    </row>
    <row r="562">
      <c r="A562">
        <f>CHOOSE(MATCH(Config!$B$2,{"PT";"EN"},0),"Seleção","Team")</f>
        <v/>
      </c>
      <c r="B562" t="inlineStr">
        <is>
          <t>Grupo G</t>
        </is>
      </c>
      <c r="C562" t="inlineStr">
        <is>
          <t>NZL</t>
        </is>
      </c>
      <c r="D562" t="inlineStr">
        <is>
          <t>New Zealand</t>
        </is>
      </c>
      <c r="E562" t="inlineStr">
        <is>
          <t>NZL12</t>
        </is>
      </c>
      <c r="F562" t="inlineStr">
        <is>
          <t>Ryan Thomas - New Zealand</t>
        </is>
      </c>
      <c r="G562" t="inlineStr">
        <is>
          <t>Base</t>
        </is>
      </c>
      <c r="I562" t="n">
        <v>0</v>
      </c>
    </row>
    <row r="563">
      <c r="A563">
        <f>CHOOSE(MATCH(Config!$B$2,{"PT";"EN"},0),"Seleção","Team")</f>
        <v/>
      </c>
      <c r="B563" t="inlineStr">
        <is>
          <t>Grupo G</t>
        </is>
      </c>
      <c r="C563" t="inlineStr">
        <is>
          <t>NZL</t>
        </is>
      </c>
      <c r="D563" t="inlineStr">
        <is>
          <t>New Zealand</t>
        </is>
      </c>
      <c r="E563" t="inlineStr">
        <is>
          <t>NZL13</t>
        </is>
      </c>
      <c r="F563" t="inlineStr">
        <is>
          <t>Team Photo - New Zealand</t>
        </is>
      </c>
      <c r="G563" t="inlineStr">
        <is>
          <t>Base</t>
        </is>
      </c>
      <c r="I563" t="n">
        <v>0</v>
      </c>
    </row>
    <row r="564">
      <c r="A564">
        <f>CHOOSE(MATCH(Config!$B$2,{"PT";"EN"},0),"Seleção","Team")</f>
        <v/>
      </c>
      <c r="B564" t="inlineStr">
        <is>
          <t>Grupo G</t>
        </is>
      </c>
      <c r="C564" t="inlineStr">
        <is>
          <t>NZL</t>
        </is>
      </c>
      <c r="D564" t="inlineStr">
        <is>
          <t>New Zealand</t>
        </is>
      </c>
      <c r="E564" t="inlineStr">
        <is>
          <t>NZL14</t>
        </is>
      </c>
      <c r="F564" t="inlineStr">
        <is>
          <t>Matthew Garbett - New Zealand</t>
        </is>
      </c>
      <c r="G564" t="inlineStr">
        <is>
          <t>Base</t>
        </is>
      </c>
      <c r="I564" t="n">
        <v>0</v>
      </c>
    </row>
    <row r="565">
      <c r="A565">
        <f>CHOOSE(MATCH(Config!$B$2,{"PT";"EN"},0),"Seleção","Team")</f>
        <v/>
      </c>
      <c r="B565" t="inlineStr">
        <is>
          <t>Grupo G</t>
        </is>
      </c>
      <c r="C565" t="inlineStr">
        <is>
          <t>NZL</t>
        </is>
      </c>
      <c r="D565" t="inlineStr">
        <is>
          <t>New Zealand</t>
        </is>
      </c>
      <c r="E565" t="inlineStr">
        <is>
          <t>NZL15</t>
        </is>
      </c>
      <c r="F565" t="inlineStr">
        <is>
          <t>Marko Stamenić - New Zealand</t>
        </is>
      </c>
      <c r="G565" t="inlineStr">
        <is>
          <t>Base</t>
        </is>
      </c>
      <c r="I565" t="n">
        <v>0</v>
      </c>
    </row>
    <row r="566">
      <c r="A566">
        <f>CHOOSE(MATCH(Config!$B$2,{"PT";"EN"},0),"Seleção","Team")</f>
        <v/>
      </c>
      <c r="B566" t="inlineStr">
        <is>
          <t>Grupo G</t>
        </is>
      </c>
      <c r="C566" t="inlineStr">
        <is>
          <t>NZL</t>
        </is>
      </c>
      <c r="D566" t="inlineStr">
        <is>
          <t>New Zealand</t>
        </is>
      </c>
      <c r="E566" t="inlineStr">
        <is>
          <t>NZL16</t>
        </is>
      </c>
      <c r="F566" t="inlineStr">
        <is>
          <t>Ben Old - New Zealand</t>
        </is>
      </c>
      <c r="G566" t="inlineStr">
        <is>
          <t>Base</t>
        </is>
      </c>
      <c r="I566" t="n">
        <v>0</v>
      </c>
    </row>
    <row r="567">
      <c r="A567">
        <f>CHOOSE(MATCH(Config!$B$2,{"PT";"EN"},0),"Seleção","Team")</f>
        <v/>
      </c>
      <c r="B567" t="inlineStr">
        <is>
          <t>Grupo G</t>
        </is>
      </c>
      <c r="C567" t="inlineStr">
        <is>
          <t>NZL</t>
        </is>
      </c>
      <c r="D567" t="inlineStr">
        <is>
          <t>New Zealand</t>
        </is>
      </c>
      <c r="E567" t="inlineStr">
        <is>
          <t>NZL17</t>
        </is>
      </c>
      <c r="F567" t="inlineStr">
        <is>
          <t>Chris Wood - New Zealand</t>
        </is>
      </c>
      <c r="G567" t="inlineStr">
        <is>
          <t>Base</t>
        </is>
      </c>
      <c r="I567" t="n">
        <v>0</v>
      </c>
    </row>
    <row r="568">
      <c r="A568">
        <f>CHOOSE(MATCH(Config!$B$2,{"PT";"EN"},0),"Seleção","Team")</f>
        <v/>
      </c>
      <c r="B568" t="inlineStr">
        <is>
          <t>Grupo G</t>
        </is>
      </c>
      <c r="C568" t="inlineStr">
        <is>
          <t>NZL</t>
        </is>
      </c>
      <c r="D568" t="inlineStr">
        <is>
          <t>New Zealand</t>
        </is>
      </c>
      <c r="E568" t="inlineStr">
        <is>
          <t>NZL18</t>
        </is>
      </c>
      <c r="F568" t="inlineStr">
        <is>
          <t>Elijah Just - New Zealand</t>
        </is>
      </c>
      <c r="G568" t="inlineStr">
        <is>
          <t>Base</t>
        </is>
      </c>
      <c r="I568" t="n">
        <v>0</v>
      </c>
    </row>
    <row r="569">
      <c r="A569">
        <f>CHOOSE(MATCH(Config!$B$2,{"PT";"EN"},0),"Seleção","Team")</f>
        <v/>
      </c>
      <c r="B569" t="inlineStr">
        <is>
          <t>Grupo G</t>
        </is>
      </c>
      <c r="C569" t="inlineStr">
        <is>
          <t>NZL</t>
        </is>
      </c>
      <c r="D569" t="inlineStr">
        <is>
          <t>New Zealand</t>
        </is>
      </c>
      <c r="E569" t="inlineStr">
        <is>
          <t>NZL19</t>
        </is>
      </c>
      <c r="F569" t="inlineStr">
        <is>
          <t>Callum McCowatt - New Zealand</t>
        </is>
      </c>
      <c r="G569" t="inlineStr">
        <is>
          <t>Base</t>
        </is>
      </c>
      <c r="I569" t="n">
        <v>0</v>
      </c>
    </row>
    <row r="570">
      <c r="A570">
        <f>CHOOSE(MATCH(Config!$B$2,{"PT";"EN"},0),"Seleção","Team")</f>
        <v/>
      </c>
      <c r="B570" t="inlineStr">
        <is>
          <t>Grupo G</t>
        </is>
      </c>
      <c r="C570" t="inlineStr">
        <is>
          <t>NZL</t>
        </is>
      </c>
      <c r="D570" t="inlineStr">
        <is>
          <t>New Zealand</t>
        </is>
      </c>
      <c r="E570" t="inlineStr">
        <is>
          <t>NZL20</t>
        </is>
      </c>
      <c r="F570" t="inlineStr">
        <is>
          <t>Kosta Barbarouses - New Zealand</t>
        </is>
      </c>
      <c r="G570" t="inlineStr">
        <is>
          <t>Base</t>
        </is>
      </c>
      <c r="I570" t="n">
        <v>0</v>
      </c>
    </row>
    <row r="571">
      <c r="A571">
        <f>CHOOSE(MATCH(Config!$B$2,{"PT";"EN"},0),"Seleção","Team")</f>
        <v/>
      </c>
      <c r="B571" t="inlineStr">
        <is>
          <t>Grupo H</t>
        </is>
      </c>
      <c r="C571" t="inlineStr">
        <is>
          <t>ESP</t>
        </is>
      </c>
      <c r="D571" t="inlineStr">
        <is>
          <t>Spain</t>
        </is>
      </c>
      <c r="E571" t="inlineStr">
        <is>
          <t>ESP1</t>
        </is>
      </c>
      <c r="F571" t="inlineStr">
        <is>
          <t>Team Logo - Spain FOIL</t>
        </is>
      </c>
      <c r="G571" t="inlineStr">
        <is>
          <t>FOIL</t>
        </is>
      </c>
      <c r="I571" t="n">
        <v>0</v>
      </c>
    </row>
    <row r="572">
      <c r="A572">
        <f>CHOOSE(MATCH(Config!$B$2,{"PT";"EN"},0),"Seleção","Team")</f>
        <v/>
      </c>
      <c r="B572" t="inlineStr">
        <is>
          <t>Grupo H</t>
        </is>
      </c>
      <c r="C572" t="inlineStr">
        <is>
          <t>ESP</t>
        </is>
      </c>
      <c r="D572" t="inlineStr">
        <is>
          <t>Spain</t>
        </is>
      </c>
      <c r="E572" t="inlineStr">
        <is>
          <t>ESP2</t>
        </is>
      </c>
      <c r="F572" t="inlineStr">
        <is>
          <t>Unai Simon - Spain</t>
        </is>
      </c>
      <c r="G572" t="inlineStr">
        <is>
          <t>Base</t>
        </is>
      </c>
      <c r="I572" t="n">
        <v>0</v>
      </c>
    </row>
    <row r="573">
      <c r="A573">
        <f>CHOOSE(MATCH(Config!$B$2,{"PT";"EN"},0),"Seleção","Team")</f>
        <v/>
      </c>
      <c r="B573" t="inlineStr">
        <is>
          <t>Grupo H</t>
        </is>
      </c>
      <c r="C573" t="inlineStr">
        <is>
          <t>ESP</t>
        </is>
      </c>
      <c r="D573" t="inlineStr">
        <is>
          <t>Spain</t>
        </is>
      </c>
      <c r="E573" t="inlineStr">
        <is>
          <t>ESP3</t>
        </is>
      </c>
      <c r="F573" t="inlineStr">
        <is>
          <t>Robin Le Normand - Spain</t>
        </is>
      </c>
      <c r="G573" t="inlineStr">
        <is>
          <t>Base</t>
        </is>
      </c>
      <c r="I573" t="n">
        <v>0</v>
      </c>
    </row>
    <row r="574">
      <c r="A574">
        <f>CHOOSE(MATCH(Config!$B$2,{"PT";"EN"},0),"Seleção","Team")</f>
        <v/>
      </c>
      <c r="B574" t="inlineStr">
        <is>
          <t>Grupo H</t>
        </is>
      </c>
      <c r="C574" t="inlineStr">
        <is>
          <t>ESP</t>
        </is>
      </c>
      <c r="D574" t="inlineStr">
        <is>
          <t>Spain</t>
        </is>
      </c>
      <c r="E574" t="inlineStr">
        <is>
          <t>ESP4</t>
        </is>
      </c>
      <c r="F574" t="inlineStr">
        <is>
          <t>Aymeric Laporte - Spain</t>
        </is>
      </c>
      <c r="G574" t="inlineStr">
        <is>
          <t>Base</t>
        </is>
      </c>
      <c r="I574" t="n">
        <v>0</v>
      </c>
    </row>
    <row r="575">
      <c r="A575">
        <f>CHOOSE(MATCH(Config!$B$2,{"PT";"EN"},0),"Seleção","Team")</f>
        <v/>
      </c>
      <c r="B575" t="inlineStr">
        <is>
          <t>Grupo H</t>
        </is>
      </c>
      <c r="C575" t="inlineStr">
        <is>
          <t>ESP</t>
        </is>
      </c>
      <c r="D575" t="inlineStr">
        <is>
          <t>Spain</t>
        </is>
      </c>
      <c r="E575" t="inlineStr">
        <is>
          <t>ESP5</t>
        </is>
      </c>
      <c r="F575" t="inlineStr">
        <is>
          <t>Dean Huijsen - Spain</t>
        </is>
      </c>
      <c r="G575" t="inlineStr">
        <is>
          <t>Base</t>
        </is>
      </c>
      <c r="I575" t="n">
        <v>0</v>
      </c>
    </row>
    <row r="576">
      <c r="A576">
        <f>CHOOSE(MATCH(Config!$B$2,{"PT";"EN"},0),"Seleção","Team")</f>
        <v/>
      </c>
      <c r="B576" t="inlineStr">
        <is>
          <t>Grupo H</t>
        </is>
      </c>
      <c r="C576" t="inlineStr">
        <is>
          <t>ESP</t>
        </is>
      </c>
      <c r="D576" t="inlineStr">
        <is>
          <t>Spain</t>
        </is>
      </c>
      <c r="E576" t="inlineStr">
        <is>
          <t>ESP6</t>
        </is>
      </c>
      <c r="F576" t="inlineStr">
        <is>
          <t>Pedro Porro - Spain</t>
        </is>
      </c>
      <c r="G576" t="inlineStr">
        <is>
          <t>Base</t>
        </is>
      </c>
      <c r="I576" t="n">
        <v>0</v>
      </c>
    </row>
    <row r="577">
      <c r="A577">
        <f>CHOOSE(MATCH(Config!$B$2,{"PT";"EN"},0),"Seleção","Team")</f>
        <v/>
      </c>
      <c r="B577" t="inlineStr">
        <is>
          <t>Grupo H</t>
        </is>
      </c>
      <c r="C577" t="inlineStr">
        <is>
          <t>ESP</t>
        </is>
      </c>
      <c r="D577" t="inlineStr">
        <is>
          <t>Spain</t>
        </is>
      </c>
      <c r="E577" t="inlineStr">
        <is>
          <t>ESP7</t>
        </is>
      </c>
      <c r="F577" t="inlineStr">
        <is>
          <t>Dani Carvajal - Spain</t>
        </is>
      </c>
      <c r="G577" t="inlineStr">
        <is>
          <t>Base</t>
        </is>
      </c>
      <c r="I577" t="n">
        <v>0</v>
      </c>
    </row>
    <row r="578">
      <c r="A578">
        <f>CHOOSE(MATCH(Config!$B$2,{"PT";"EN"},0),"Seleção","Team")</f>
        <v/>
      </c>
      <c r="B578" t="inlineStr">
        <is>
          <t>Grupo H</t>
        </is>
      </c>
      <c r="C578" t="inlineStr">
        <is>
          <t>ESP</t>
        </is>
      </c>
      <c r="D578" t="inlineStr">
        <is>
          <t>Spain</t>
        </is>
      </c>
      <c r="E578" t="inlineStr">
        <is>
          <t>ESP8</t>
        </is>
      </c>
      <c r="F578" t="inlineStr">
        <is>
          <t>Marc Cucurella - Spain</t>
        </is>
      </c>
      <c r="G578" t="inlineStr">
        <is>
          <t>Base</t>
        </is>
      </c>
      <c r="I578" t="n">
        <v>0</v>
      </c>
    </row>
    <row r="579">
      <c r="A579">
        <f>CHOOSE(MATCH(Config!$B$2,{"PT";"EN"},0),"Seleção","Team")</f>
        <v/>
      </c>
      <c r="B579" t="inlineStr">
        <is>
          <t>Grupo H</t>
        </is>
      </c>
      <c r="C579" t="inlineStr">
        <is>
          <t>ESP</t>
        </is>
      </c>
      <c r="D579" t="inlineStr">
        <is>
          <t>Spain</t>
        </is>
      </c>
      <c r="E579" t="inlineStr">
        <is>
          <t>ESP9</t>
        </is>
      </c>
      <c r="F579" t="inlineStr">
        <is>
          <t>Martín Zubimendi - Spain</t>
        </is>
      </c>
      <c r="G579" t="inlineStr">
        <is>
          <t>Base</t>
        </is>
      </c>
      <c r="I579" t="n">
        <v>0</v>
      </c>
    </row>
    <row r="580">
      <c r="A580">
        <f>CHOOSE(MATCH(Config!$B$2,{"PT";"EN"},0),"Seleção","Team")</f>
        <v/>
      </c>
      <c r="B580" t="inlineStr">
        <is>
          <t>Grupo H</t>
        </is>
      </c>
      <c r="C580" t="inlineStr">
        <is>
          <t>ESP</t>
        </is>
      </c>
      <c r="D580" t="inlineStr">
        <is>
          <t>Spain</t>
        </is>
      </c>
      <c r="E580" t="inlineStr">
        <is>
          <t>ESP10</t>
        </is>
      </c>
      <c r="F580" t="inlineStr">
        <is>
          <t>Rodri - Spain</t>
        </is>
      </c>
      <c r="G580" t="inlineStr">
        <is>
          <t>Base</t>
        </is>
      </c>
      <c r="I580" t="n">
        <v>0</v>
      </c>
    </row>
    <row r="581">
      <c r="A581">
        <f>CHOOSE(MATCH(Config!$B$2,{"PT";"EN"},0),"Seleção","Team")</f>
        <v/>
      </c>
      <c r="B581" t="inlineStr">
        <is>
          <t>Grupo H</t>
        </is>
      </c>
      <c r="C581" t="inlineStr">
        <is>
          <t>ESP</t>
        </is>
      </c>
      <c r="D581" t="inlineStr">
        <is>
          <t>Spain</t>
        </is>
      </c>
      <c r="E581" t="inlineStr">
        <is>
          <t>ESP11</t>
        </is>
      </c>
      <c r="F581" t="inlineStr">
        <is>
          <t>Pedri - Spain</t>
        </is>
      </c>
      <c r="G581" t="inlineStr">
        <is>
          <t>Base</t>
        </is>
      </c>
      <c r="I581" t="n">
        <v>0</v>
      </c>
    </row>
    <row r="582">
      <c r="A582">
        <f>CHOOSE(MATCH(Config!$B$2,{"PT";"EN"},0),"Seleção","Team")</f>
        <v/>
      </c>
      <c r="B582" t="inlineStr">
        <is>
          <t>Grupo H</t>
        </is>
      </c>
      <c r="C582" t="inlineStr">
        <is>
          <t>ESP</t>
        </is>
      </c>
      <c r="D582" t="inlineStr">
        <is>
          <t>Spain</t>
        </is>
      </c>
      <c r="E582" t="inlineStr">
        <is>
          <t>ESP12</t>
        </is>
      </c>
      <c r="F582" t="inlineStr">
        <is>
          <t>Fabian Ruiz - Spain</t>
        </is>
      </c>
      <c r="G582" t="inlineStr">
        <is>
          <t>Base</t>
        </is>
      </c>
      <c r="I582" t="n">
        <v>0</v>
      </c>
    </row>
    <row r="583">
      <c r="A583">
        <f>CHOOSE(MATCH(Config!$B$2,{"PT";"EN"},0),"Seleção","Team")</f>
        <v/>
      </c>
      <c r="B583" t="inlineStr">
        <is>
          <t>Grupo H</t>
        </is>
      </c>
      <c r="C583" t="inlineStr">
        <is>
          <t>ESP</t>
        </is>
      </c>
      <c r="D583" t="inlineStr">
        <is>
          <t>Spain</t>
        </is>
      </c>
      <c r="E583" t="inlineStr">
        <is>
          <t>ESP13</t>
        </is>
      </c>
      <c r="F583" t="inlineStr">
        <is>
          <t>Team Photo - Spain</t>
        </is>
      </c>
      <c r="G583" t="inlineStr">
        <is>
          <t>Base</t>
        </is>
      </c>
      <c r="I583" t="n">
        <v>0</v>
      </c>
    </row>
    <row r="584">
      <c r="A584">
        <f>CHOOSE(MATCH(Config!$B$2,{"PT";"EN"},0),"Seleção","Team")</f>
        <v/>
      </c>
      <c r="B584" t="inlineStr">
        <is>
          <t>Grupo H</t>
        </is>
      </c>
      <c r="C584" t="inlineStr">
        <is>
          <t>ESP</t>
        </is>
      </c>
      <c r="D584" t="inlineStr">
        <is>
          <t>Spain</t>
        </is>
      </c>
      <c r="E584" t="inlineStr">
        <is>
          <t>ESP14</t>
        </is>
      </c>
      <c r="F584" t="inlineStr">
        <is>
          <t>Mikel Merino - Spain</t>
        </is>
      </c>
      <c r="G584" t="inlineStr">
        <is>
          <t>Base</t>
        </is>
      </c>
      <c r="I584" t="n">
        <v>0</v>
      </c>
    </row>
    <row r="585">
      <c r="A585">
        <f>CHOOSE(MATCH(Config!$B$2,{"PT";"EN"},0),"Seleção","Team")</f>
        <v/>
      </c>
      <c r="B585" t="inlineStr">
        <is>
          <t>Grupo H</t>
        </is>
      </c>
      <c r="C585" t="inlineStr">
        <is>
          <t>ESP</t>
        </is>
      </c>
      <c r="D585" t="inlineStr">
        <is>
          <t>Spain</t>
        </is>
      </c>
      <c r="E585" t="inlineStr">
        <is>
          <t>ESP15</t>
        </is>
      </c>
      <c r="F585" t="inlineStr">
        <is>
          <t>Lamine Yamal - Spain</t>
        </is>
      </c>
      <c r="G585" t="inlineStr">
        <is>
          <t>Base</t>
        </is>
      </c>
      <c r="I585" t="n">
        <v>0</v>
      </c>
    </row>
    <row r="586">
      <c r="A586">
        <f>CHOOSE(MATCH(Config!$B$2,{"PT";"EN"},0),"Seleção","Team")</f>
        <v/>
      </c>
      <c r="B586" t="inlineStr">
        <is>
          <t>Grupo H</t>
        </is>
      </c>
      <c r="C586" t="inlineStr">
        <is>
          <t>ESP</t>
        </is>
      </c>
      <c r="D586" t="inlineStr">
        <is>
          <t>Spain</t>
        </is>
      </c>
      <c r="E586" t="inlineStr">
        <is>
          <t>ESP16</t>
        </is>
      </c>
      <c r="F586" t="inlineStr">
        <is>
          <t>Dani Olmo - Spain</t>
        </is>
      </c>
      <c r="G586" t="inlineStr">
        <is>
          <t>Base</t>
        </is>
      </c>
      <c r="I586" t="n">
        <v>0</v>
      </c>
    </row>
    <row r="587">
      <c r="A587">
        <f>CHOOSE(MATCH(Config!$B$2,{"PT";"EN"},0),"Seleção","Team")</f>
        <v/>
      </c>
      <c r="B587" t="inlineStr">
        <is>
          <t>Grupo H</t>
        </is>
      </c>
      <c r="C587" t="inlineStr">
        <is>
          <t>ESP</t>
        </is>
      </c>
      <c r="D587" t="inlineStr">
        <is>
          <t>Spain</t>
        </is>
      </c>
      <c r="E587" t="inlineStr">
        <is>
          <t>ESP17</t>
        </is>
      </c>
      <c r="F587" t="inlineStr">
        <is>
          <t>Nico Williams - Spain</t>
        </is>
      </c>
      <c r="G587" t="inlineStr">
        <is>
          <t>Base</t>
        </is>
      </c>
      <c r="I587" t="n">
        <v>0</v>
      </c>
    </row>
    <row r="588">
      <c r="A588">
        <f>CHOOSE(MATCH(Config!$B$2,{"PT";"EN"},0),"Seleção","Team")</f>
        <v/>
      </c>
      <c r="B588" t="inlineStr">
        <is>
          <t>Grupo H</t>
        </is>
      </c>
      <c r="C588" t="inlineStr">
        <is>
          <t>ESP</t>
        </is>
      </c>
      <c r="D588" t="inlineStr">
        <is>
          <t>Spain</t>
        </is>
      </c>
      <c r="E588" t="inlineStr">
        <is>
          <t>ESP18</t>
        </is>
      </c>
      <c r="F588" t="inlineStr">
        <is>
          <t>Ferran Torres - Spain</t>
        </is>
      </c>
      <c r="G588" t="inlineStr">
        <is>
          <t>Base</t>
        </is>
      </c>
      <c r="I588" t="n">
        <v>0</v>
      </c>
    </row>
    <row r="589">
      <c r="A589">
        <f>CHOOSE(MATCH(Config!$B$2,{"PT";"EN"},0),"Seleção","Team")</f>
        <v/>
      </c>
      <c r="B589" t="inlineStr">
        <is>
          <t>Grupo H</t>
        </is>
      </c>
      <c r="C589" t="inlineStr">
        <is>
          <t>ESP</t>
        </is>
      </c>
      <c r="D589" t="inlineStr">
        <is>
          <t>Spain</t>
        </is>
      </c>
      <c r="E589" t="inlineStr">
        <is>
          <t>ESP19</t>
        </is>
      </c>
      <c r="F589" t="inlineStr">
        <is>
          <t>Álvaro Morata - Spain</t>
        </is>
      </c>
      <c r="G589" t="inlineStr">
        <is>
          <t>Base</t>
        </is>
      </c>
      <c r="I589" t="n">
        <v>0</v>
      </c>
    </row>
    <row r="590">
      <c r="A590">
        <f>CHOOSE(MATCH(Config!$B$2,{"PT";"EN"},0),"Seleção","Team")</f>
        <v/>
      </c>
      <c r="B590" t="inlineStr">
        <is>
          <t>Grupo H</t>
        </is>
      </c>
      <c r="C590" t="inlineStr">
        <is>
          <t>ESP</t>
        </is>
      </c>
      <c r="D590" t="inlineStr">
        <is>
          <t>Spain</t>
        </is>
      </c>
      <c r="E590" t="inlineStr">
        <is>
          <t>ESP20</t>
        </is>
      </c>
      <c r="F590" t="inlineStr">
        <is>
          <t>Mikel Oyarzabal - Spain</t>
        </is>
      </c>
      <c r="G590" t="inlineStr">
        <is>
          <t>Base</t>
        </is>
      </c>
      <c r="I590" t="n">
        <v>0</v>
      </c>
    </row>
    <row r="591">
      <c r="A591">
        <f>CHOOSE(MATCH(Config!$B$2,{"PT";"EN"},0),"Seleção","Team")</f>
        <v/>
      </c>
      <c r="B591" t="inlineStr">
        <is>
          <t>Grupo H</t>
        </is>
      </c>
      <c r="C591" t="inlineStr">
        <is>
          <t>CPV</t>
        </is>
      </c>
      <c r="D591" t="inlineStr">
        <is>
          <t>Cape Verde</t>
        </is>
      </c>
      <c r="E591" t="inlineStr">
        <is>
          <t>CPV1</t>
        </is>
      </c>
      <c r="F591" t="inlineStr">
        <is>
          <t>Team Logo - Cape Verde FOIL</t>
        </is>
      </c>
      <c r="G591" t="inlineStr">
        <is>
          <t>FOIL</t>
        </is>
      </c>
      <c r="I591" t="n">
        <v>0</v>
      </c>
    </row>
    <row r="592">
      <c r="A592">
        <f>CHOOSE(MATCH(Config!$B$2,{"PT";"EN"},0),"Seleção","Team")</f>
        <v/>
      </c>
      <c r="B592" t="inlineStr">
        <is>
          <t>Grupo H</t>
        </is>
      </c>
      <c r="C592" t="inlineStr">
        <is>
          <t>CPV</t>
        </is>
      </c>
      <c r="D592" t="inlineStr">
        <is>
          <t>Cape Verde</t>
        </is>
      </c>
      <c r="E592" t="inlineStr">
        <is>
          <t>CPV2</t>
        </is>
      </c>
      <c r="F592" t="inlineStr">
        <is>
          <t>Vozinha - Cape Verde</t>
        </is>
      </c>
      <c r="G592" t="inlineStr">
        <is>
          <t>Base</t>
        </is>
      </c>
      <c r="I592" t="n">
        <v>0</v>
      </c>
    </row>
    <row r="593">
      <c r="A593">
        <f>CHOOSE(MATCH(Config!$B$2,{"PT";"EN"},0),"Seleção","Team")</f>
        <v/>
      </c>
      <c r="B593" t="inlineStr">
        <is>
          <t>Grupo H</t>
        </is>
      </c>
      <c r="C593" t="inlineStr">
        <is>
          <t>CPV</t>
        </is>
      </c>
      <c r="D593" t="inlineStr">
        <is>
          <t>Cape Verde</t>
        </is>
      </c>
      <c r="E593" t="inlineStr">
        <is>
          <t>CPV3</t>
        </is>
      </c>
      <c r="F593" t="inlineStr">
        <is>
          <t>Logan Costa - Cape Verde</t>
        </is>
      </c>
      <c r="G593" t="inlineStr">
        <is>
          <t>Base</t>
        </is>
      </c>
      <c r="I593" t="n">
        <v>0</v>
      </c>
    </row>
    <row r="594">
      <c r="A594">
        <f>CHOOSE(MATCH(Config!$B$2,{"PT";"EN"},0),"Seleção","Team")</f>
        <v/>
      </c>
      <c r="B594" t="inlineStr">
        <is>
          <t>Grupo H</t>
        </is>
      </c>
      <c r="C594" t="inlineStr">
        <is>
          <t>CPV</t>
        </is>
      </c>
      <c r="D594" t="inlineStr">
        <is>
          <t>Cape Verde</t>
        </is>
      </c>
      <c r="E594" t="inlineStr">
        <is>
          <t>CPV4</t>
        </is>
      </c>
      <c r="F594" t="inlineStr">
        <is>
          <t>Pico - Cape Verde</t>
        </is>
      </c>
      <c r="G594" t="inlineStr">
        <is>
          <t>Base</t>
        </is>
      </c>
      <c r="I594" t="n">
        <v>0</v>
      </c>
    </row>
    <row r="595">
      <c r="A595">
        <f>CHOOSE(MATCH(Config!$B$2,{"PT";"EN"},0),"Seleção","Team")</f>
        <v/>
      </c>
      <c r="B595" t="inlineStr">
        <is>
          <t>Grupo H</t>
        </is>
      </c>
      <c r="C595" t="inlineStr">
        <is>
          <t>CPV</t>
        </is>
      </c>
      <c r="D595" t="inlineStr">
        <is>
          <t>Cape Verde</t>
        </is>
      </c>
      <c r="E595" t="inlineStr">
        <is>
          <t>CPV5</t>
        </is>
      </c>
      <c r="F595" t="inlineStr">
        <is>
          <t>Diney - Cape Verde</t>
        </is>
      </c>
      <c r="G595" t="inlineStr">
        <is>
          <t>Base</t>
        </is>
      </c>
      <c r="I595" t="n">
        <v>0</v>
      </c>
    </row>
    <row r="596">
      <c r="A596">
        <f>CHOOSE(MATCH(Config!$B$2,{"PT";"EN"},0),"Seleção","Team")</f>
        <v/>
      </c>
      <c r="B596" t="inlineStr">
        <is>
          <t>Grupo H</t>
        </is>
      </c>
      <c r="C596" t="inlineStr">
        <is>
          <t>CPV</t>
        </is>
      </c>
      <c r="D596" t="inlineStr">
        <is>
          <t>Cape Verde</t>
        </is>
      </c>
      <c r="E596" t="inlineStr">
        <is>
          <t>CPV6</t>
        </is>
      </c>
      <c r="F596" t="inlineStr">
        <is>
          <t>Steven Moreira - Cape Verde</t>
        </is>
      </c>
      <c r="G596" t="inlineStr">
        <is>
          <t>Base</t>
        </is>
      </c>
      <c r="I596" t="n">
        <v>0</v>
      </c>
    </row>
    <row r="597">
      <c r="A597">
        <f>CHOOSE(MATCH(Config!$B$2,{"PT";"EN"},0),"Seleção","Team")</f>
        <v/>
      </c>
      <c r="B597" t="inlineStr">
        <is>
          <t>Grupo H</t>
        </is>
      </c>
      <c r="C597" t="inlineStr">
        <is>
          <t>CPV</t>
        </is>
      </c>
      <c r="D597" t="inlineStr">
        <is>
          <t>Cape Verde</t>
        </is>
      </c>
      <c r="E597" t="inlineStr">
        <is>
          <t>CPV7</t>
        </is>
      </c>
      <c r="F597" t="inlineStr">
        <is>
          <t>Wagner Pina - Cape Verde</t>
        </is>
      </c>
      <c r="G597" t="inlineStr">
        <is>
          <t>Base</t>
        </is>
      </c>
      <c r="I597" t="n">
        <v>0</v>
      </c>
    </row>
    <row r="598">
      <c r="A598">
        <f>CHOOSE(MATCH(Config!$B$2,{"PT";"EN"},0),"Seleção","Team")</f>
        <v/>
      </c>
      <c r="B598" t="inlineStr">
        <is>
          <t>Grupo H</t>
        </is>
      </c>
      <c r="C598" t="inlineStr">
        <is>
          <t>CPV</t>
        </is>
      </c>
      <c r="D598" t="inlineStr">
        <is>
          <t>Cape Verde</t>
        </is>
      </c>
      <c r="E598" t="inlineStr">
        <is>
          <t>CPV8</t>
        </is>
      </c>
      <c r="F598" t="inlineStr">
        <is>
          <t>Joao Paulo - Cape Verde</t>
        </is>
      </c>
      <c r="G598" t="inlineStr">
        <is>
          <t>Base</t>
        </is>
      </c>
      <c r="I598" t="n">
        <v>0</v>
      </c>
    </row>
    <row r="599">
      <c r="A599">
        <f>CHOOSE(MATCH(Config!$B$2,{"PT";"EN"},0),"Seleção","Team")</f>
        <v/>
      </c>
      <c r="B599" t="inlineStr">
        <is>
          <t>Grupo H</t>
        </is>
      </c>
      <c r="C599" t="inlineStr">
        <is>
          <t>CPV</t>
        </is>
      </c>
      <c r="D599" t="inlineStr">
        <is>
          <t>Cape Verde</t>
        </is>
      </c>
      <c r="E599" t="inlineStr">
        <is>
          <t>CPV9</t>
        </is>
      </c>
      <c r="F599" t="inlineStr">
        <is>
          <t>Yannick Semedo - Cape Verde</t>
        </is>
      </c>
      <c r="G599" t="inlineStr">
        <is>
          <t>Base</t>
        </is>
      </c>
      <c r="I599" t="n">
        <v>0</v>
      </c>
    </row>
    <row r="600">
      <c r="A600">
        <f>CHOOSE(MATCH(Config!$B$2,{"PT";"EN"},0),"Seleção","Team")</f>
        <v/>
      </c>
      <c r="B600" t="inlineStr">
        <is>
          <t>Grupo H</t>
        </is>
      </c>
      <c r="C600" t="inlineStr">
        <is>
          <t>CPV</t>
        </is>
      </c>
      <c r="D600" t="inlineStr">
        <is>
          <t>Cape Verde</t>
        </is>
      </c>
      <c r="E600" t="inlineStr">
        <is>
          <t>CPV10</t>
        </is>
      </c>
      <c r="F600" t="inlineStr">
        <is>
          <t>Kevin Pina - Cape Verde</t>
        </is>
      </c>
      <c r="G600" t="inlineStr">
        <is>
          <t>Base</t>
        </is>
      </c>
      <c r="I600" t="n">
        <v>0</v>
      </c>
    </row>
    <row r="601">
      <c r="A601">
        <f>CHOOSE(MATCH(Config!$B$2,{"PT";"EN"},0),"Seleção","Team")</f>
        <v/>
      </c>
      <c r="B601" t="inlineStr">
        <is>
          <t>Grupo H</t>
        </is>
      </c>
      <c r="C601" t="inlineStr">
        <is>
          <t>CPV</t>
        </is>
      </c>
      <c r="D601" t="inlineStr">
        <is>
          <t>Cape Verde</t>
        </is>
      </c>
      <c r="E601" t="inlineStr">
        <is>
          <t>CPV11</t>
        </is>
      </c>
      <c r="F601" t="inlineStr">
        <is>
          <t>Patrick Andrade - Cape Verde</t>
        </is>
      </c>
      <c r="G601" t="inlineStr">
        <is>
          <t>Base</t>
        </is>
      </c>
      <c r="I601" t="n">
        <v>0</v>
      </c>
    </row>
    <row r="602">
      <c r="A602">
        <f>CHOOSE(MATCH(Config!$B$2,{"PT";"EN"},0),"Seleção","Team")</f>
        <v/>
      </c>
      <c r="B602" t="inlineStr">
        <is>
          <t>Grupo H</t>
        </is>
      </c>
      <c r="C602" t="inlineStr">
        <is>
          <t>CPV</t>
        </is>
      </c>
      <c r="D602" t="inlineStr">
        <is>
          <t>Cape Verde</t>
        </is>
      </c>
      <c r="E602" t="inlineStr">
        <is>
          <t>CPV12</t>
        </is>
      </c>
      <c r="F602" t="inlineStr">
        <is>
          <t>Jamiro Monteiro - Cape Verde</t>
        </is>
      </c>
      <c r="G602" t="inlineStr">
        <is>
          <t>Base</t>
        </is>
      </c>
      <c r="I602" t="n">
        <v>0</v>
      </c>
    </row>
    <row r="603">
      <c r="A603">
        <f>CHOOSE(MATCH(Config!$B$2,{"PT";"EN"},0),"Seleção","Team")</f>
        <v/>
      </c>
      <c r="B603" t="inlineStr">
        <is>
          <t>Grupo H</t>
        </is>
      </c>
      <c r="C603" t="inlineStr">
        <is>
          <t>CPV</t>
        </is>
      </c>
      <c r="D603" t="inlineStr">
        <is>
          <t>Cape Verde</t>
        </is>
      </c>
      <c r="E603" t="inlineStr">
        <is>
          <t>CPV13</t>
        </is>
      </c>
      <c r="F603" t="inlineStr">
        <is>
          <t>Team Photo - Cape Verde</t>
        </is>
      </c>
      <c r="G603" t="inlineStr">
        <is>
          <t>Base</t>
        </is>
      </c>
      <c r="I603" t="n">
        <v>0</v>
      </c>
    </row>
    <row r="604">
      <c r="A604">
        <f>CHOOSE(MATCH(Config!$B$2,{"PT";"EN"},0),"Seleção","Team")</f>
        <v/>
      </c>
      <c r="B604" t="inlineStr">
        <is>
          <t>Grupo H</t>
        </is>
      </c>
      <c r="C604" t="inlineStr">
        <is>
          <t>CPV</t>
        </is>
      </c>
      <c r="D604" t="inlineStr">
        <is>
          <t>Cape Verde</t>
        </is>
      </c>
      <c r="E604" t="inlineStr">
        <is>
          <t>CPV14</t>
        </is>
      </c>
      <c r="F604" t="inlineStr">
        <is>
          <t>Deroy Duarte - Cape Verde</t>
        </is>
      </c>
      <c r="G604" t="inlineStr">
        <is>
          <t>Base</t>
        </is>
      </c>
      <c r="I604" t="n">
        <v>0</v>
      </c>
    </row>
    <row r="605">
      <c r="A605">
        <f>CHOOSE(MATCH(Config!$B$2,{"PT";"EN"},0),"Seleção","Team")</f>
        <v/>
      </c>
      <c r="B605" t="inlineStr">
        <is>
          <t>Grupo H</t>
        </is>
      </c>
      <c r="C605" t="inlineStr">
        <is>
          <t>CPV</t>
        </is>
      </c>
      <c r="D605" t="inlineStr">
        <is>
          <t>Cape Verde</t>
        </is>
      </c>
      <c r="E605" t="inlineStr">
        <is>
          <t>CPV15</t>
        </is>
      </c>
      <c r="F605" t="inlineStr">
        <is>
          <t>Garry Rodrigues - Cape Verde</t>
        </is>
      </c>
      <c r="G605" t="inlineStr">
        <is>
          <t>Base</t>
        </is>
      </c>
      <c r="I605" t="n">
        <v>0</v>
      </c>
    </row>
    <row r="606">
      <c r="A606">
        <f>CHOOSE(MATCH(Config!$B$2,{"PT";"EN"},0),"Seleção","Team")</f>
        <v/>
      </c>
      <c r="B606" t="inlineStr">
        <is>
          <t>Grupo H</t>
        </is>
      </c>
      <c r="C606" t="inlineStr">
        <is>
          <t>CPV</t>
        </is>
      </c>
      <c r="D606" t="inlineStr">
        <is>
          <t>Cape Verde</t>
        </is>
      </c>
      <c r="E606" t="inlineStr">
        <is>
          <t>CPV16</t>
        </is>
      </c>
      <c r="F606" t="inlineStr">
        <is>
          <t>Jovane Cabral - Cape Verde</t>
        </is>
      </c>
      <c r="G606" t="inlineStr">
        <is>
          <t>Base</t>
        </is>
      </c>
      <c r="I606" t="n">
        <v>0</v>
      </c>
    </row>
    <row r="607">
      <c r="A607">
        <f>CHOOSE(MATCH(Config!$B$2,{"PT";"EN"},0),"Seleção","Team")</f>
        <v/>
      </c>
      <c r="B607" t="inlineStr">
        <is>
          <t>Grupo H</t>
        </is>
      </c>
      <c r="C607" t="inlineStr">
        <is>
          <t>CPV</t>
        </is>
      </c>
      <c r="D607" t="inlineStr">
        <is>
          <t>Cape Verde</t>
        </is>
      </c>
      <c r="E607" t="inlineStr">
        <is>
          <t>CPV17</t>
        </is>
      </c>
      <c r="F607" t="inlineStr">
        <is>
          <t>Ryan Mendes - Cape Verde</t>
        </is>
      </c>
      <c r="G607" t="inlineStr">
        <is>
          <t>Base</t>
        </is>
      </c>
      <c r="I607" t="n">
        <v>0</v>
      </c>
    </row>
    <row r="608">
      <c r="A608">
        <f>CHOOSE(MATCH(Config!$B$2,{"PT";"EN"},0),"Seleção","Team")</f>
        <v/>
      </c>
      <c r="B608" t="inlineStr">
        <is>
          <t>Grupo H</t>
        </is>
      </c>
      <c r="C608" t="inlineStr">
        <is>
          <t>CPV</t>
        </is>
      </c>
      <c r="D608" t="inlineStr">
        <is>
          <t>Cape Verde</t>
        </is>
      </c>
      <c r="E608" t="inlineStr">
        <is>
          <t>CPV18</t>
        </is>
      </c>
      <c r="F608" t="inlineStr">
        <is>
          <t>Dailon Livramento - Cape Verde</t>
        </is>
      </c>
      <c r="G608" t="inlineStr">
        <is>
          <t>Base</t>
        </is>
      </c>
      <c r="I608" t="n">
        <v>0</v>
      </c>
    </row>
    <row r="609">
      <c r="A609">
        <f>CHOOSE(MATCH(Config!$B$2,{"PT";"EN"},0),"Seleção","Team")</f>
        <v/>
      </c>
      <c r="B609" t="inlineStr">
        <is>
          <t>Grupo H</t>
        </is>
      </c>
      <c r="C609" t="inlineStr">
        <is>
          <t>CPV</t>
        </is>
      </c>
      <c r="D609" t="inlineStr">
        <is>
          <t>Cape Verde</t>
        </is>
      </c>
      <c r="E609" t="inlineStr">
        <is>
          <t>CPV19</t>
        </is>
      </c>
      <c r="F609" t="inlineStr">
        <is>
          <t>Willy Semedo - Cape Verde</t>
        </is>
      </c>
      <c r="G609" t="inlineStr">
        <is>
          <t>Base</t>
        </is>
      </c>
      <c r="I609" t="n">
        <v>0</v>
      </c>
    </row>
    <row r="610">
      <c r="A610">
        <f>CHOOSE(MATCH(Config!$B$2,{"PT";"EN"},0),"Seleção","Team")</f>
        <v/>
      </c>
      <c r="B610" t="inlineStr">
        <is>
          <t>Grupo H</t>
        </is>
      </c>
      <c r="C610" t="inlineStr">
        <is>
          <t>CPV</t>
        </is>
      </c>
      <c r="D610" t="inlineStr">
        <is>
          <t>Cape Verde</t>
        </is>
      </c>
      <c r="E610" t="inlineStr">
        <is>
          <t>CPV20</t>
        </is>
      </c>
      <c r="F610" t="inlineStr">
        <is>
          <t>Bebe - Cape Verde</t>
        </is>
      </c>
      <c r="G610" t="inlineStr">
        <is>
          <t>Base</t>
        </is>
      </c>
      <c r="I610" t="n">
        <v>0</v>
      </c>
    </row>
    <row r="611">
      <c r="A611">
        <f>CHOOSE(MATCH(Config!$B$2,{"PT";"EN"},0),"Seleção","Team")</f>
        <v/>
      </c>
      <c r="B611" t="inlineStr">
        <is>
          <t>Grupo H</t>
        </is>
      </c>
      <c r="C611" t="inlineStr">
        <is>
          <t>KSA</t>
        </is>
      </c>
      <c r="D611" t="inlineStr">
        <is>
          <t>Saudi Arabia</t>
        </is>
      </c>
      <c r="E611" t="inlineStr">
        <is>
          <t>KSA1</t>
        </is>
      </c>
      <c r="F611" t="inlineStr">
        <is>
          <t>Team Logo - Saudi Arabia FOIL</t>
        </is>
      </c>
      <c r="G611" t="inlineStr">
        <is>
          <t>FOIL</t>
        </is>
      </c>
      <c r="I611" t="n">
        <v>0</v>
      </c>
    </row>
    <row r="612">
      <c r="A612">
        <f>CHOOSE(MATCH(Config!$B$2,{"PT";"EN"},0),"Seleção","Team")</f>
        <v/>
      </c>
      <c r="B612" t="inlineStr">
        <is>
          <t>Grupo H</t>
        </is>
      </c>
      <c r="C612" t="inlineStr">
        <is>
          <t>KSA</t>
        </is>
      </c>
      <c r="D612" t="inlineStr">
        <is>
          <t>Saudi Arabia</t>
        </is>
      </c>
      <c r="E612" t="inlineStr">
        <is>
          <t>KSA2</t>
        </is>
      </c>
      <c r="F612" t="inlineStr">
        <is>
          <t>Nawaf Alaqidi - Saudi Arabia</t>
        </is>
      </c>
      <c r="G612" t="inlineStr">
        <is>
          <t>Base</t>
        </is>
      </c>
      <c r="I612" t="n">
        <v>0</v>
      </c>
    </row>
    <row r="613">
      <c r="A613">
        <f>CHOOSE(MATCH(Config!$B$2,{"PT";"EN"},0),"Seleção","Team")</f>
        <v/>
      </c>
      <c r="B613" t="inlineStr">
        <is>
          <t>Grupo H</t>
        </is>
      </c>
      <c r="C613" t="inlineStr">
        <is>
          <t>KSA</t>
        </is>
      </c>
      <c r="D613" t="inlineStr">
        <is>
          <t>Saudi Arabia</t>
        </is>
      </c>
      <c r="E613" t="inlineStr">
        <is>
          <t>KSA3</t>
        </is>
      </c>
      <c r="F613" t="inlineStr">
        <is>
          <t>Abdulrahman Al-Sanbi - Saudi Arabia</t>
        </is>
      </c>
      <c r="G613" t="inlineStr">
        <is>
          <t>Base</t>
        </is>
      </c>
      <c r="I613" t="n">
        <v>0</v>
      </c>
    </row>
    <row r="614">
      <c r="A614">
        <f>CHOOSE(MATCH(Config!$B$2,{"PT";"EN"},0),"Seleção","Team")</f>
        <v/>
      </c>
      <c r="B614" t="inlineStr">
        <is>
          <t>Grupo H</t>
        </is>
      </c>
      <c r="C614" t="inlineStr">
        <is>
          <t>KSA</t>
        </is>
      </c>
      <c r="D614" t="inlineStr">
        <is>
          <t>Saudi Arabia</t>
        </is>
      </c>
      <c r="E614" t="inlineStr">
        <is>
          <t>KSA4</t>
        </is>
      </c>
      <c r="F614" t="inlineStr">
        <is>
          <t>Saud Abdulhamid - Saudi Arabia</t>
        </is>
      </c>
      <c r="G614" t="inlineStr">
        <is>
          <t>Base</t>
        </is>
      </c>
      <c r="I614" t="n">
        <v>0</v>
      </c>
    </row>
    <row r="615">
      <c r="A615">
        <f>CHOOSE(MATCH(Config!$B$2,{"PT";"EN"},0),"Seleção","Team")</f>
        <v/>
      </c>
      <c r="B615" t="inlineStr">
        <is>
          <t>Grupo H</t>
        </is>
      </c>
      <c r="C615" t="inlineStr">
        <is>
          <t>KSA</t>
        </is>
      </c>
      <c r="D615" t="inlineStr">
        <is>
          <t>Saudi Arabia</t>
        </is>
      </c>
      <c r="E615" t="inlineStr">
        <is>
          <t>KSA5</t>
        </is>
      </c>
      <c r="F615" t="inlineStr">
        <is>
          <t>Nawaf Bouwashl - Saudi Arabia</t>
        </is>
      </c>
      <c r="G615" t="inlineStr">
        <is>
          <t>Base</t>
        </is>
      </c>
      <c r="I615" t="n">
        <v>0</v>
      </c>
    </row>
    <row r="616">
      <c r="A616">
        <f>CHOOSE(MATCH(Config!$B$2,{"PT";"EN"},0),"Seleção","Team")</f>
        <v/>
      </c>
      <c r="B616" t="inlineStr">
        <is>
          <t>Grupo H</t>
        </is>
      </c>
      <c r="C616" t="inlineStr">
        <is>
          <t>KSA</t>
        </is>
      </c>
      <c r="D616" t="inlineStr">
        <is>
          <t>Saudi Arabia</t>
        </is>
      </c>
      <c r="E616" t="inlineStr">
        <is>
          <t>KSA6</t>
        </is>
      </c>
      <c r="F616" t="inlineStr">
        <is>
          <t>Jihad Thakri - Saudi Arabia</t>
        </is>
      </c>
      <c r="G616" t="inlineStr">
        <is>
          <t>Base</t>
        </is>
      </c>
      <c r="I616" t="n">
        <v>0</v>
      </c>
    </row>
    <row r="617">
      <c r="A617">
        <f>CHOOSE(MATCH(Config!$B$2,{"PT";"EN"},0),"Seleção","Team")</f>
        <v/>
      </c>
      <c r="B617" t="inlineStr">
        <is>
          <t>Grupo H</t>
        </is>
      </c>
      <c r="C617" t="inlineStr">
        <is>
          <t>KSA</t>
        </is>
      </c>
      <c r="D617" t="inlineStr">
        <is>
          <t>Saudi Arabia</t>
        </is>
      </c>
      <c r="E617" t="inlineStr">
        <is>
          <t>KSA7</t>
        </is>
      </c>
      <c r="F617" t="inlineStr">
        <is>
          <t>Moteb Al-Harbi - Saudi Arabia</t>
        </is>
      </c>
      <c r="G617" t="inlineStr">
        <is>
          <t>Base</t>
        </is>
      </c>
      <c r="I617" t="n">
        <v>0</v>
      </c>
    </row>
    <row r="618">
      <c r="A618">
        <f>CHOOSE(MATCH(Config!$B$2,{"PT";"EN"},0),"Seleção","Team")</f>
        <v/>
      </c>
      <c r="B618" t="inlineStr">
        <is>
          <t>Grupo H</t>
        </is>
      </c>
      <c r="C618" t="inlineStr">
        <is>
          <t>KSA</t>
        </is>
      </c>
      <c r="D618" t="inlineStr">
        <is>
          <t>Saudi Arabia</t>
        </is>
      </c>
      <c r="E618" t="inlineStr">
        <is>
          <t>KSA8</t>
        </is>
      </c>
      <c r="F618" t="inlineStr">
        <is>
          <t>Hassan Altambakti - Saudi Arabia</t>
        </is>
      </c>
      <c r="G618" t="inlineStr">
        <is>
          <t>Base</t>
        </is>
      </c>
      <c r="I618" t="n">
        <v>0</v>
      </c>
    </row>
    <row r="619">
      <c r="A619">
        <f>CHOOSE(MATCH(Config!$B$2,{"PT";"EN"},0),"Seleção","Team")</f>
        <v/>
      </c>
      <c r="B619" t="inlineStr">
        <is>
          <t>Grupo H</t>
        </is>
      </c>
      <c r="C619" t="inlineStr">
        <is>
          <t>KSA</t>
        </is>
      </c>
      <c r="D619" t="inlineStr">
        <is>
          <t>Saudi Arabia</t>
        </is>
      </c>
      <c r="E619" t="inlineStr">
        <is>
          <t>KSA9</t>
        </is>
      </c>
      <c r="F619" t="inlineStr">
        <is>
          <t>Musab Aljuwayr - Saudi Arabia</t>
        </is>
      </c>
      <c r="G619" t="inlineStr">
        <is>
          <t>Base</t>
        </is>
      </c>
      <c r="I619" t="n">
        <v>0</v>
      </c>
    </row>
    <row r="620">
      <c r="A620">
        <f>CHOOSE(MATCH(Config!$B$2,{"PT";"EN"},0),"Seleção","Team")</f>
        <v/>
      </c>
      <c r="B620" t="inlineStr">
        <is>
          <t>Grupo H</t>
        </is>
      </c>
      <c r="C620" t="inlineStr">
        <is>
          <t>KSA</t>
        </is>
      </c>
      <c r="D620" t="inlineStr">
        <is>
          <t>Saudi Arabia</t>
        </is>
      </c>
      <c r="E620" t="inlineStr">
        <is>
          <t>KSA10</t>
        </is>
      </c>
      <c r="F620" t="inlineStr">
        <is>
          <t>Ziyad Aljohani - Saudi Arabia</t>
        </is>
      </c>
      <c r="G620" t="inlineStr">
        <is>
          <t>Base</t>
        </is>
      </c>
      <c r="I620" t="n">
        <v>0</v>
      </c>
    </row>
    <row r="621">
      <c r="A621">
        <f>CHOOSE(MATCH(Config!$B$2,{"PT";"EN"},0),"Seleção","Team")</f>
        <v/>
      </c>
      <c r="B621" t="inlineStr">
        <is>
          <t>Grupo H</t>
        </is>
      </c>
      <c r="C621" t="inlineStr">
        <is>
          <t>KSA</t>
        </is>
      </c>
      <c r="D621" t="inlineStr">
        <is>
          <t>Saudi Arabia</t>
        </is>
      </c>
      <c r="E621" t="inlineStr">
        <is>
          <t>KSA11</t>
        </is>
      </c>
      <c r="F621" t="inlineStr">
        <is>
          <t>Abdullah Alkhaibari - Saudi Arabia</t>
        </is>
      </c>
      <c r="G621" t="inlineStr">
        <is>
          <t>Base</t>
        </is>
      </c>
      <c r="I621" t="n">
        <v>0</v>
      </c>
    </row>
    <row r="622">
      <c r="A622">
        <f>CHOOSE(MATCH(Config!$B$2,{"PT";"EN"},0),"Seleção","Team")</f>
        <v/>
      </c>
      <c r="B622" t="inlineStr">
        <is>
          <t>Grupo H</t>
        </is>
      </c>
      <c r="C622" t="inlineStr">
        <is>
          <t>KSA</t>
        </is>
      </c>
      <c r="D622" t="inlineStr">
        <is>
          <t>Saudi Arabia</t>
        </is>
      </c>
      <c r="E622" t="inlineStr">
        <is>
          <t>KAS12</t>
        </is>
      </c>
      <c r="F622" t="inlineStr">
        <is>
          <t>Nasser Aldawsari - Saudi Arabia</t>
        </is>
      </c>
      <c r="G622" t="inlineStr">
        <is>
          <t>Base</t>
        </is>
      </c>
      <c r="I622" t="n">
        <v>0</v>
      </c>
    </row>
    <row r="623">
      <c r="A623">
        <f>CHOOSE(MATCH(Config!$B$2,{"PT";"EN"},0),"Seleção","Team")</f>
        <v/>
      </c>
      <c r="B623" t="inlineStr">
        <is>
          <t>Grupo H</t>
        </is>
      </c>
      <c r="C623" t="inlineStr">
        <is>
          <t>KSA</t>
        </is>
      </c>
      <c r="D623" t="inlineStr">
        <is>
          <t>Saudi Arabia</t>
        </is>
      </c>
      <c r="E623" t="inlineStr">
        <is>
          <t>KSA13</t>
        </is>
      </c>
      <c r="F623" t="inlineStr">
        <is>
          <t>Team Photo - Saudi Arabia</t>
        </is>
      </c>
      <c r="G623" t="inlineStr">
        <is>
          <t>Base</t>
        </is>
      </c>
      <c r="I623" t="n">
        <v>0</v>
      </c>
    </row>
    <row r="624">
      <c r="A624">
        <f>CHOOSE(MATCH(Config!$B$2,{"PT";"EN"},0),"Seleção","Team")</f>
        <v/>
      </c>
      <c r="B624" t="inlineStr">
        <is>
          <t>Grupo H</t>
        </is>
      </c>
      <c r="C624" t="inlineStr">
        <is>
          <t>KSA</t>
        </is>
      </c>
      <c r="D624" t="inlineStr">
        <is>
          <t>Saudi Arabia</t>
        </is>
      </c>
      <c r="E624" t="inlineStr">
        <is>
          <t>KSA14</t>
        </is>
      </c>
      <c r="F624" t="inlineStr">
        <is>
          <t>Saleh Abu Alshamat - Saudi Arabia</t>
        </is>
      </c>
      <c r="G624" t="inlineStr">
        <is>
          <t>Base</t>
        </is>
      </c>
      <c r="I624" t="n">
        <v>0</v>
      </c>
    </row>
    <row r="625">
      <c r="A625">
        <f>CHOOSE(MATCH(Config!$B$2,{"PT";"EN"},0),"Seleção","Team")</f>
        <v/>
      </c>
      <c r="B625" t="inlineStr">
        <is>
          <t>Grupo H</t>
        </is>
      </c>
      <c r="C625" t="inlineStr">
        <is>
          <t>KSA</t>
        </is>
      </c>
      <c r="D625" t="inlineStr">
        <is>
          <t>Saudi Arabia</t>
        </is>
      </c>
      <c r="E625" t="inlineStr">
        <is>
          <t>KSA15</t>
        </is>
      </c>
      <c r="F625" t="inlineStr">
        <is>
          <t>Marwan Alsahafi - Saudi Arabia</t>
        </is>
      </c>
      <c r="G625" t="inlineStr">
        <is>
          <t>Base</t>
        </is>
      </c>
      <c r="I625" t="n">
        <v>0</v>
      </c>
    </row>
    <row r="626">
      <c r="A626">
        <f>CHOOSE(MATCH(Config!$B$2,{"PT";"EN"},0),"Seleção","Team")</f>
        <v/>
      </c>
      <c r="B626" t="inlineStr">
        <is>
          <t>Grupo H</t>
        </is>
      </c>
      <c r="C626" t="inlineStr">
        <is>
          <t>KSA</t>
        </is>
      </c>
      <c r="D626" t="inlineStr">
        <is>
          <t>Saudi Arabia</t>
        </is>
      </c>
      <c r="E626" t="inlineStr">
        <is>
          <t>KSA16</t>
        </is>
      </c>
      <c r="F626" t="inlineStr">
        <is>
          <t>Salem Aldawsari - Saudi Arabia</t>
        </is>
      </c>
      <c r="G626" t="inlineStr">
        <is>
          <t>Base</t>
        </is>
      </c>
      <c r="I626" t="n">
        <v>0</v>
      </c>
    </row>
    <row r="627">
      <c r="A627">
        <f>CHOOSE(MATCH(Config!$B$2,{"PT";"EN"},0),"Seleção","Team")</f>
        <v/>
      </c>
      <c r="B627" t="inlineStr">
        <is>
          <t>Grupo H</t>
        </is>
      </c>
      <c r="C627" t="inlineStr">
        <is>
          <t>KSA</t>
        </is>
      </c>
      <c r="D627" t="inlineStr">
        <is>
          <t>Saudi Arabia</t>
        </is>
      </c>
      <c r="E627" t="inlineStr">
        <is>
          <t>KSA17</t>
        </is>
      </c>
      <c r="F627" t="inlineStr">
        <is>
          <t>Abdulrahman Al-Aboud - Saudi Arabia</t>
        </is>
      </c>
      <c r="G627" t="inlineStr">
        <is>
          <t>Base</t>
        </is>
      </c>
      <c r="I627" t="n">
        <v>0</v>
      </c>
    </row>
    <row r="628">
      <c r="A628">
        <f>CHOOSE(MATCH(Config!$B$2,{"PT";"EN"},0),"Seleção","Team")</f>
        <v/>
      </c>
      <c r="B628" t="inlineStr">
        <is>
          <t>Grupo H</t>
        </is>
      </c>
      <c r="C628" t="inlineStr">
        <is>
          <t>KSA</t>
        </is>
      </c>
      <c r="D628" t="inlineStr">
        <is>
          <t>Saudi Arabia</t>
        </is>
      </c>
      <c r="E628" t="inlineStr">
        <is>
          <t>KSA18</t>
        </is>
      </c>
      <c r="F628" t="inlineStr">
        <is>
          <t>Feras Akbrikan - Saudi Arabia</t>
        </is>
      </c>
      <c r="G628" t="inlineStr">
        <is>
          <t>Base</t>
        </is>
      </c>
      <c r="I628" t="n">
        <v>0</v>
      </c>
    </row>
    <row r="629">
      <c r="A629">
        <f>CHOOSE(MATCH(Config!$B$2,{"PT";"EN"},0),"Seleção","Team")</f>
        <v/>
      </c>
      <c r="B629" t="inlineStr">
        <is>
          <t>Grupo H</t>
        </is>
      </c>
      <c r="C629" t="inlineStr">
        <is>
          <t>KSA</t>
        </is>
      </c>
      <c r="D629" t="inlineStr">
        <is>
          <t>Saudi Arabia</t>
        </is>
      </c>
      <c r="E629" t="inlineStr">
        <is>
          <t>KSA19</t>
        </is>
      </c>
      <c r="F629" t="inlineStr">
        <is>
          <t>Saleh Alshehri - Saudi Arabia</t>
        </is>
      </c>
      <c r="G629" t="inlineStr">
        <is>
          <t>Base</t>
        </is>
      </c>
      <c r="I629" t="n">
        <v>0</v>
      </c>
    </row>
    <row r="630">
      <c r="A630">
        <f>CHOOSE(MATCH(Config!$B$2,{"PT";"EN"},0),"Seleção","Team")</f>
        <v/>
      </c>
      <c r="B630" t="inlineStr">
        <is>
          <t>Grupo H</t>
        </is>
      </c>
      <c r="C630" t="inlineStr">
        <is>
          <t>KSA</t>
        </is>
      </c>
      <c r="D630" t="inlineStr">
        <is>
          <t>Saudi Arabia</t>
        </is>
      </c>
      <c r="E630" t="inlineStr">
        <is>
          <t>KSA20</t>
        </is>
      </c>
      <c r="F630" t="inlineStr">
        <is>
          <t>Abdullah Al-Hamdan - Saudi Arabia</t>
        </is>
      </c>
      <c r="G630" t="inlineStr">
        <is>
          <t>Base</t>
        </is>
      </c>
      <c r="I630" t="n">
        <v>0</v>
      </c>
    </row>
    <row r="631">
      <c r="A631">
        <f>CHOOSE(MATCH(Config!$B$2,{"PT";"EN"},0),"Seleção","Team")</f>
        <v/>
      </c>
      <c r="B631" t="inlineStr">
        <is>
          <t>Grupo H</t>
        </is>
      </c>
      <c r="C631" t="inlineStr">
        <is>
          <t>URU</t>
        </is>
      </c>
      <c r="D631" t="inlineStr">
        <is>
          <t>Uruguay</t>
        </is>
      </c>
      <c r="E631" t="inlineStr">
        <is>
          <t>URU1</t>
        </is>
      </c>
      <c r="F631" t="inlineStr">
        <is>
          <t>Team Logo - Uruguay FOIL</t>
        </is>
      </c>
      <c r="G631" t="inlineStr">
        <is>
          <t>FOIL</t>
        </is>
      </c>
      <c r="I631" t="n">
        <v>0</v>
      </c>
    </row>
    <row r="632">
      <c r="A632">
        <f>CHOOSE(MATCH(Config!$B$2,{"PT";"EN"},0),"Seleção","Team")</f>
        <v/>
      </c>
      <c r="B632" t="inlineStr">
        <is>
          <t>Grupo H</t>
        </is>
      </c>
      <c r="C632" t="inlineStr">
        <is>
          <t>URU</t>
        </is>
      </c>
      <c r="D632" t="inlineStr">
        <is>
          <t>Uruguay</t>
        </is>
      </c>
      <c r="E632" t="inlineStr">
        <is>
          <t>URU2</t>
        </is>
      </c>
      <c r="F632" t="inlineStr">
        <is>
          <t>Sergio Rochet - Uruguay</t>
        </is>
      </c>
      <c r="G632" t="inlineStr">
        <is>
          <t>Base</t>
        </is>
      </c>
      <c r="I632" t="n">
        <v>0</v>
      </c>
    </row>
    <row r="633">
      <c r="A633">
        <f>CHOOSE(MATCH(Config!$B$2,{"PT";"EN"},0),"Seleção","Team")</f>
        <v/>
      </c>
      <c r="B633" t="inlineStr">
        <is>
          <t>Grupo H</t>
        </is>
      </c>
      <c r="C633" t="inlineStr">
        <is>
          <t>URU</t>
        </is>
      </c>
      <c r="D633" t="inlineStr">
        <is>
          <t>Uruguay</t>
        </is>
      </c>
      <c r="E633" t="inlineStr">
        <is>
          <t>URU3</t>
        </is>
      </c>
      <c r="F633" t="inlineStr">
        <is>
          <t>Santiago Mele - Uruguay</t>
        </is>
      </c>
      <c r="G633" t="inlineStr">
        <is>
          <t>Base</t>
        </is>
      </c>
      <c r="I633" t="n">
        <v>0</v>
      </c>
    </row>
    <row r="634">
      <c r="A634">
        <f>CHOOSE(MATCH(Config!$B$2,{"PT";"EN"},0),"Seleção","Team")</f>
        <v/>
      </c>
      <c r="B634" t="inlineStr">
        <is>
          <t>Grupo H</t>
        </is>
      </c>
      <c r="C634" t="inlineStr">
        <is>
          <t>URU</t>
        </is>
      </c>
      <c r="D634" t="inlineStr">
        <is>
          <t>Uruguay</t>
        </is>
      </c>
      <c r="E634" t="inlineStr">
        <is>
          <t>URU4</t>
        </is>
      </c>
      <c r="F634" t="inlineStr">
        <is>
          <t>Ronald Araujo - Uruguay</t>
        </is>
      </c>
      <c r="G634" t="inlineStr">
        <is>
          <t>Base</t>
        </is>
      </c>
      <c r="I634" t="n">
        <v>0</v>
      </c>
    </row>
    <row r="635">
      <c r="A635">
        <f>CHOOSE(MATCH(Config!$B$2,{"PT";"EN"},0),"Seleção","Team")</f>
        <v/>
      </c>
      <c r="B635" t="inlineStr">
        <is>
          <t>Grupo H</t>
        </is>
      </c>
      <c r="C635" t="inlineStr">
        <is>
          <t>URU</t>
        </is>
      </c>
      <c r="D635" t="inlineStr">
        <is>
          <t>Uruguay</t>
        </is>
      </c>
      <c r="E635" t="inlineStr">
        <is>
          <t>URU5</t>
        </is>
      </c>
      <c r="F635" t="inlineStr">
        <is>
          <t>José María Giménez - Uruguay</t>
        </is>
      </c>
      <c r="G635" t="inlineStr">
        <is>
          <t>Base</t>
        </is>
      </c>
      <c r="I635" t="n">
        <v>0</v>
      </c>
    </row>
    <row r="636">
      <c r="A636">
        <f>CHOOSE(MATCH(Config!$B$2,{"PT";"EN"},0),"Seleção","Team")</f>
        <v/>
      </c>
      <c r="B636" t="inlineStr">
        <is>
          <t>Grupo H</t>
        </is>
      </c>
      <c r="C636" t="inlineStr">
        <is>
          <t>URU</t>
        </is>
      </c>
      <c r="D636" t="inlineStr">
        <is>
          <t>Uruguay</t>
        </is>
      </c>
      <c r="E636" t="inlineStr">
        <is>
          <t>URU6</t>
        </is>
      </c>
      <c r="F636" t="inlineStr">
        <is>
          <t>Sebastian Caceres - Uruguay</t>
        </is>
      </c>
      <c r="G636" t="inlineStr">
        <is>
          <t>Base</t>
        </is>
      </c>
      <c r="I636" t="n">
        <v>0</v>
      </c>
    </row>
    <row r="637">
      <c r="A637">
        <f>CHOOSE(MATCH(Config!$B$2,{"PT";"EN"},0),"Seleção","Team")</f>
        <v/>
      </c>
      <c r="B637" t="inlineStr">
        <is>
          <t>Grupo H</t>
        </is>
      </c>
      <c r="C637" t="inlineStr">
        <is>
          <t>URU</t>
        </is>
      </c>
      <c r="D637" t="inlineStr">
        <is>
          <t>Uruguay</t>
        </is>
      </c>
      <c r="E637" t="inlineStr">
        <is>
          <t>URU7</t>
        </is>
      </c>
      <c r="F637" t="inlineStr">
        <is>
          <t>Mathias Olivera - Uruguay</t>
        </is>
      </c>
      <c r="G637" t="inlineStr">
        <is>
          <t>Base</t>
        </is>
      </c>
      <c r="I637" t="n">
        <v>0</v>
      </c>
    </row>
    <row r="638">
      <c r="A638">
        <f>CHOOSE(MATCH(Config!$B$2,{"PT";"EN"},0),"Seleção","Team")</f>
        <v/>
      </c>
      <c r="B638" t="inlineStr">
        <is>
          <t>Grupo H</t>
        </is>
      </c>
      <c r="C638" t="inlineStr">
        <is>
          <t>URU</t>
        </is>
      </c>
      <c r="D638" t="inlineStr">
        <is>
          <t>Uruguay</t>
        </is>
      </c>
      <c r="E638" t="inlineStr">
        <is>
          <t>URU8</t>
        </is>
      </c>
      <c r="F638" t="inlineStr">
        <is>
          <t>Guillermo Varela - Uruguay</t>
        </is>
      </c>
      <c r="G638" t="inlineStr">
        <is>
          <t>Base</t>
        </is>
      </c>
      <c r="I638" t="n">
        <v>0</v>
      </c>
    </row>
    <row r="639">
      <c r="A639">
        <f>CHOOSE(MATCH(Config!$B$2,{"PT";"EN"},0),"Seleção","Team")</f>
        <v/>
      </c>
      <c r="B639" t="inlineStr">
        <is>
          <t>Grupo H</t>
        </is>
      </c>
      <c r="C639" t="inlineStr">
        <is>
          <t>URU</t>
        </is>
      </c>
      <c r="D639" t="inlineStr">
        <is>
          <t>Uruguay</t>
        </is>
      </c>
      <c r="E639" t="inlineStr">
        <is>
          <t>URU9</t>
        </is>
      </c>
      <c r="F639" t="inlineStr">
        <is>
          <t>Nahitan Nandez - Uruguay</t>
        </is>
      </c>
      <c r="G639" t="inlineStr">
        <is>
          <t>Base</t>
        </is>
      </c>
      <c r="I639" t="n">
        <v>0</v>
      </c>
    </row>
    <row r="640">
      <c r="A640">
        <f>CHOOSE(MATCH(Config!$B$2,{"PT";"EN"},0),"Seleção","Team")</f>
        <v/>
      </c>
      <c r="B640" t="inlineStr">
        <is>
          <t>Grupo H</t>
        </is>
      </c>
      <c r="C640" t="inlineStr">
        <is>
          <t>URU</t>
        </is>
      </c>
      <c r="D640" t="inlineStr">
        <is>
          <t>Uruguay</t>
        </is>
      </c>
      <c r="E640" t="inlineStr">
        <is>
          <t>URU10</t>
        </is>
      </c>
      <c r="F640" t="inlineStr">
        <is>
          <t>Federico Valverde - Uruguay</t>
        </is>
      </c>
      <c r="G640" t="inlineStr">
        <is>
          <t>Base</t>
        </is>
      </c>
      <c r="I640" t="n">
        <v>0</v>
      </c>
    </row>
    <row r="641">
      <c r="A641">
        <f>CHOOSE(MATCH(Config!$B$2,{"PT";"EN"},0),"Seleção","Team")</f>
        <v/>
      </c>
      <c r="B641" t="inlineStr">
        <is>
          <t>Grupo H</t>
        </is>
      </c>
      <c r="C641" t="inlineStr">
        <is>
          <t>URU</t>
        </is>
      </c>
      <c r="D641" t="inlineStr">
        <is>
          <t>Uruguay</t>
        </is>
      </c>
      <c r="E641" t="inlineStr">
        <is>
          <t>URU11</t>
        </is>
      </c>
      <c r="F641" t="inlineStr">
        <is>
          <t>Giorgian De Arrascaeta - Uruguay</t>
        </is>
      </c>
      <c r="G641" t="inlineStr">
        <is>
          <t>Base</t>
        </is>
      </c>
      <c r="I641" t="n">
        <v>0</v>
      </c>
    </row>
    <row r="642">
      <c r="A642">
        <f>CHOOSE(MATCH(Config!$B$2,{"PT";"EN"},0),"Seleção","Team")</f>
        <v/>
      </c>
      <c r="B642" t="inlineStr">
        <is>
          <t>Grupo H</t>
        </is>
      </c>
      <c r="C642" t="inlineStr">
        <is>
          <t>URU</t>
        </is>
      </c>
      <c r="D642" t="inlineStr">
        <is>
          <t>Uruguay</t>
        </is>
      </c>
      <c r="E642" t="inlineStr">
        <is>
          <t>URU12</t>
        </is>
      </c>
      <c r="F642" t="inlineStr">
        <is>
          <t>Rodrigo Bentancur - Uruguay</t>
        </is>
      </c>
      <c r="G642" t="inlineStr">
        <is>
          <t>Base</t>
        </is>
      </c>
      <c r="I642" t="n">
        <v>0</v>
      </c>
    </row>
    <row r="643">
      <c r="A643">
        <f>CHOOSE(MATCH(Config!$B$2,{"PT";"EN"},0),"Seleção","Team")</f>
        <v/>
      </c>
      <c r="B643" t="inlineStr">
        <is>
          <t>Grupo H</t>
        </is>
      </c>
      <c r="C643" t="inlineStr">
        <is>
          <t>URU</t>
        </is>
      </c>
      <c r="D643" t="inlineStr">
        <is>
          <t>Uruguay</t>
        </is>
      </c>
      <c r="E643" t="inlineStr">
        <is>
          <t>URU13</t>
        </is>
      </c>
      <c r="F643" t="inlineStr">
        <is>
          <t>Team Photo - Uruguay</t>
        </is>
      </c>
      <c r="G643" t="inlineStr">
        <is>
          <t>Base</t>
        </is>
      </c>
      <c r="I643" t="n">
        <v>0</v>
      </c>
    </row>
    <row r="644">
      <c r="A644">
        <f>CHOOSE(MATCH(Config!$B$2,{"PT";"EN"},0),"Seleção","Team")</f>
        <v/>
      </c>
      <c r="B644" t="inlineStr">
        <is>
          <t>Grupo H</t>
        </is>
      </c>
      <c r="C644" t="inlineStr">
        <is>
          <t>URU</t>
        </is>
      </c>
      <c r="D644" t="inlineStr">
        <is>
          <t>Uruguay</t>
        </is>
      </c>
      <c r="E644" t="inlineStr">
        <is>
          <t>URU14</t>
        </is>
      </c>
      <c r="F644" t="inlineStr">
        <is>
          <t>Manuel Ugarte - Uruguay</t>
        </is>
      </c>
      <c r="G644" t="inlineStr">
        <is>
          <t>Base</t>
        </is>
      </c>
      <c r="I644" t="n">
        <v>0</v>
      </c>
    </row>
    <row r="645">
      <c r="A645">
        <f>CHOOSE(MATCH(Config!$B$2,{"PT";"EN"},0),"Seleção","Team")</f>
        <v/>
      </c>
      <c r="B645" t="inlineStr">
        <is>
          <t>Grupo H</t>
        </is>
      </c>
      <c r="C645" t="inlineStr">
        <is>
          <t>URU</t>
        </is>
      </c>
      <c r="D645" t="inlineStr">
        <is>
          <t>Uruguay</t>
        </is>
      </c>
      <c r="E645" t="inlineStr">
        <is>
          <t>URU15</t>
        </is>
      </c>
      <c r="F645" t="inlineStr">
        <is>
          <t>Nicolás de la Cruz - Uruguay</t>
        </is>
      </c>
      <c r="G645" t="inlineStr">
        <is>
          <t>Base</t>
        </is>
      </c>
      <c r="I645" t="n">
        <v>0</v>
      </c>
    </row>
    <row r="646">
      <c r="A646">
        <f>CHOOSE(MATCH(Config!$B$2,{"PT";"EN"},0),"Seleção","Team")</f>
        <v/>
      </c>
      <c r="B646" t="inlineStr">
        <is>
          <t>Grupo H</t>
        </is>
      </c>
      <c r="C646" t="inlineStr">
        <is>
          <t>URU</t>
        </is>
      </c>
      <c r="D646" t="inlineStr">
        <is>
          <t>Uruguay</t>
        </is>
      </c>
      <c r="E646" t="inlineStr">
        <is>
          <t>URU16</t>
        </is>
      </c>
      <c r="F646" t="inlineStr">
        <is>
          <t>Maxi Araujo - Uruguay</t>
        </is>
      </c>
      <c r="G646" t="inlineStr">
        <is>
          <t>Base</t>
        </is>
      </c>
      <c r="I646" t="n">
        <v>0</v>
      </c>
    </row>
    <row r="647">
      <c r="A647">
        <f>CHOOSE(MATCH(Config!$B$2,{"PT";"EN"},0),"Seleção","Team")</f>
        <v/>
      </c>
      <c r="B647" t="inlineStr">
        <is>
          <t>Grupo H</t>
        </is>
      </c>
      <c r="C647" t="inlineStr">
        <is>
          <t>URU</t>
        </is>
      </c>
      <c r="D647" t="inlineStr">
        <is>
          <t>Uruguay</t>
        </is>
      </c>
      <c r="E647" t="inlineStr">
        <is>
          <t>URU17</t>
        </is>
      </c>
      <c r="F647" t="inlineStr">
        <is>
          <t>Darwin Núñez - Uruguay</t>
        </is>
      </c>
      <c r="G647" t="inlineStr">
        <is>
          <t>Base</t>
        </is>
      </c>
      <c r="I647" t="n">
        <v>0</v>
      </c>
    </row>
    <row r="648">
      <c r="A648">
        <f>CHOOSE(MATCH(Config!$B$2,{"PT";"EN"},0),"Seleção","Team")</f>
        <v/>
      </c>
      <c r="B648" t="inlineStr">
        <is>
          <t>Grupo H</t>
        </is>
      </c>
      <c r="C648" t="inlineStr">
        <is>
          <t>URU</t>
        </is>
      </c>
      <c r="D648" t="inlineStr">
        <is>
          <t>Uruguay</t>
        </is>
      </c>
      <c r="E648" t="inlineStr">
        <is>
          <t>URU18</t>
        </is>
      </c>
      <c r="F648" t="inlineStr">
        <is>
          <t>Federico Viñas - Uruguay</t>
        </is>
      </c>
      <c r="G648" t="inlineStr">
        <is>
          <t>Base</t>
        </is>
      </c>
      <c r="I648" t="n">
        <v>0</v>
      </c>
    </row>
    <row r="649">
      <c r="A649">
        <f>CHOOSE(MATCH(Config!$B$2,{"PT";"EN"},0),"Seleção","Team")</f>
        <v/>
      </c>
      <c r="B649" t="inlineStr">
        <is>
          <t>Grupo H</t>
        </is>
      </c>
      <c r="C649" t="inlineStr">
        <is>
          <t>URU</t>
        </is>
      </c>
      <c r="D649" t="inlineStr">
        <is>
          <t>Uruguay</t>
        </is>
      </c>
      <c r="E649" t="inlineStr">
        <is>
          <t>URU19</t>
        </is>
      </c>
      <c r="F649" t="inlineStr">
        <is>
          <t>Rodrigo Aguirre - Uruguay</t>
        </is>
      </c>
      <c r="G649" t="inlineStr">
        <is>
          <t>Base</t>
        </is>
      </c>
      <c r="I649" t="n">
        <v>0</v>
      </c>
    </row>
    <row r="650">
      <c r="A650">
        <f>CHOOSE(MATCH(Config!$B$2,{"PT";"EN"},0),"Seleção","Team")</f>
        <v/>
      </c>
      <c r="B650" t="inlineStr">
        <is>
          <t>Grupo H</t>
        </is>
      </c>
      <c r="C650" t="inlineStr">
        <is>
          <t>URU</t>
        </is>
      </c>
      <c r="D650" t="inlineStr">
        <is>
          <t>Uruguay</t>
        </is>
      </c>
      <c r="E650" t="inlineStr">
        <is>
          <t>URU20</t>
        </is>
      </c>
      <c r="F650" t="inlineStr">
        <is>
          <t>Facundo Pellistri - Uruguay</t>
        </is>
      </c>
      <c r="G650" t="inlineStr">
        <is>
          <t>Base</t>
        </is>
      </c>
      <c r="I650" t="n">
        <v>0</v>
      </c>
    </row>
    <row r="651">
      <c r="A651">
        <f>CHOOSE(MATCH(Config!$B$2,{"PT";"EN"},0),"Seleção","Team")</f>
        <v/>
      </c>
      <c r="B651" t="inlineStr">
        <is>
          <t>Grupo I</t>
        </is>
      </c>
      <c r="C651" t="inlineStr">
        <is>
          <t>FRA</t>
        </is>
      </c>
      <c r="D651" t="inlineStr">
        <is>
          <t>France</t>
        </is>
      </c>
      <c r="E651" t="inlineStr">
        <is>
          <t>FRA1</t>
        </is>
      </c>
      <c r="F651" t="inlineStr">
        <is>
          <t>Team Logo - France FOIL</t>
        </is>
      </c>
      <c r="G651" t="inlineStr">
        <is>
          <t>FOIL</t>
        </is>
      </c>
      <c r="I651" t="n">
        <v>0</v>
      </c>
    </row>
    <row r="652">
      <c r="A652">
        <f>CHOOSE(MATCH(Config!$B$2,{"PT";"EN"},0),"Seleção","Team")</f>
        <v/>
      </c>
      <c r="B652" t="inlineStr">
        <is>
          <t>Grupo I</t>
        </is>
      </c>
      <c r="C652" t="inlineStr">
        <is>
          <t>FRA</t>
        </is>
      </c>
      <c r="D652" t="inlineStr">
        <is>
          <t>France</t>
        </is>
      </c>
      <c r="E652" t="inlineStr">
        <is>
          <t>FRA2</t>
        </is>
      </c>
      <c r="F652" t="inlineStr">
        <is>
          <t>Mike Maignan - France</t>
        </is>
      </c>
      <c r="G652" t="inlineStr">
        <is>
          <t>Base</t>
        </is>
      </c>
      <c r="I652" t="n">
        <v>0</v>
      </c>
    </row>
    <row r="653">
      <c r="A653">
        <f>CHOOSE(MATCH(Config!$B$2,{"PT";"EN"},0),"Seleção","Team")</f>
        <v/>
      </c>
      <c r="B653" t="inlineStr">
        <is>
          <t>Grupo I</t>
        </is>
      </c>
      <c r="C653" t="inlineStr">
        <is>
          <t>FRA</t>
        </is>
      </c>
      <c r="D653" t="inlineStr">
        <is>
          <t>France</t>
        </is>
      </c>
      <c r="E653" t="inlineStr">
        <is>
          <t>FRA3</t>
        </is>
      </c>
      <c r="F653" t="inlineStr">
        <is>
          <t>Theo Hernandez - France</t>
        </is>
      </c>
      <c r="G653" t="inlineStr">
        <is>
          <t>Base</t>
        </is>
      </c>
      <c r="I653" t="n">
        <v>0</v>
      </c>
    </row>
    <row r="654">
      <c r="A654">
        <f>CHOOSE(MATCH(Config!$B$2,{"PT";"EN"},0),"Seleção","Team")</f>
        <v/>
      </c>
      <c r="B654" t="inlineStr">
        <is>
          <t>Grupo I</t>
        </is>
      </c>
      <c r="C654" t="inlineStr">
        <is>
          <t>FRA</t>
        </is>
      </c>
      <c r="D654" t="inlineStr">
        <is>
          <t>France</t>
        </is>
      </c>
      <c r="E654" t="inlineStr">
        <is>
          <t>FRA4</t>
        </is>
      </c>
      <c r="F654" t="inlineStr">
        <is>
          <t>William Saliba - France</t>
        </is>
      </c>
      <c r="G654" t="inlineStr">
        <is>
          <t>Base</t>
        </is>
      </c>
      <c r="I654" t="n">
        <v>0</v>
      </c>
    </row>
    <row r="655">
      <c r="A655">
        <f>CHOOSE(MATCH(Config!$B$2,{"PT";"EN"},0),"Seleção","Team")</f>
        <v/>
      </c>
      <c r="B655" t="inlineStr">
        <is>
          <t>Grupo I</t>
        </is>
      </c>
      <c r="C655" t="inlineStr">
        <is>
          <t>FRA</t>
        </is>
      </c>
      <c r="D655" t="inlineStr">
        <is>
          <t>France</t>
        </is>
      </c>
      <c r="E655" t="inlineStr">
        <is>
          <t>FRA5</t>
        </is>
      </c>
      <c r="F655" t="inlineStr">
        <is>
          <t>Jules Kounde - France</t>
        </is>
      </c>
      <c r="G655" t="inlineStr">
        <is>
          <t>Base</t>
        </is>
      </c>
      <c r="I655" t="n">
        <v>0</v>
      </c>
    </row>
    <row r="656">
      <c r="A656">
        <f>CHOOSE(MATCH(Config!$B$2,{"PT";"EN"},0),"Seleção","Team")</f>
        <v/>
      </c>
      <c r="B656" t="inlineStr">
        <is>
          <t>Grupo I</t>
        </is>
      </c>
      <c r="C656" t="inlineStr">
        <is>
          <t>FRA</t>
        </is>
      </c>
      <c r="D656" t="inlineStr">
        <is>
          <t>France</t>
        </is>
      </c>
      <c r="E656" t="inlineStr">
        <is>
          <t>FRA6</t>
        </is>
      </c>
      <c r="F656" t="inlineStr">
        <is>
          <t>Ibrahima Konate - France</t>
        </is>
      </c>
      <c r="G656" t="inlineStr">
        <is>
          <t>Base</t>
        </is>
      </c>
      <c r="I656" t="n">
        <v>0</v>
      </c>
    </row>
    <row r="657">
      <c r="A657">
        <f>CHOOSE(MATCH(Config!$B$2,{"PT";"EN"},0),"Seleção","Team")</f>
        <v/>
      </c>
      <c r="B657" t="inlineStr">
        <is>
          <t>Grupo I</t>
        </is>
      </c>
      <c r="C657" t="inlineStr">
        <is>
          <t>FRA</t>
        </is>
      </c>
      <c r="D657" t="inlineStr">
        <is>
          <t>France</t>
        </is>
      </c>
      <c r="E657" t="inlineStr">
        <is>
          <t>FRA7</t>
        </is>
      </c>
      <c r="F657" t="inlineStr">
        <is>
          <t>Dayot Upamecano - France</t>
        </is>
      </c>
      <c r="G657" t="inlineStr">
        <is>
          <t>Base</t>
        </is>
      </c>
      <c r="I657" t="n">
        <v>0</v>
      </c>
    </row>
    <row r="658">
      <c r="A658">
        <f>CHOOSE(MATCH(Config!$B$2,{"PT";"EN"},0),"Seleção","Team")</f>
        <v/>
      </c>
      <c r="B658" t="inlineStr">
        <is>
          <t>Grupo I</t>
        </is>
      </c>
      <c r="C658" t="inlineStr">
        <is>
          <t>FRA</t>
        </is>
      </c>
      <c r="D658" t="inlineStr">
        <is>
          <t>France</t>
        </is>
      </c>
      <c r="E658" t="inlineStr">
        <is>
          <t>FRA8</t>
        </is>
      </c>
      <c r="F658" t="inlineStr">
        <is>
          <t>Lucas Digne - France</t>
        </is>
      </c>
      <c r="G658" t="inlineStr">
        <is>
          <t>Base</t>
        </is>
      </c>
      <c r="I658" t="n">
        <v>0</v>
      </c>
    </row>
    <row r="659">
      <c r="A659">
        <f>CHOOSE(MATCH(Config!$B$2,{"PT";"EN"},0),"Seleção","Team")</f>
        <v/>
      </c>
      <c r="B659" t="inlineStr">
        <is>
          <t>Grupo I</t>
        </is>
      </c>
      <c r="C659" t="inlineStr">
        <is>
          <t>FRA</t>
        </is>
      </c>
      <c r="D659" t="inlineStr">
        <is>
          <t>France</t>
        </is>
      </c>
      <c r="E659" t="inlineStr">
        <is>
          <t>FRA9</t>
        </is>
      </c>
      <c r="F659" t="inlineStr">
        <is>
          <t>Aurélien Tchouaméni - France</t>
        </is>
      </c>
      <c r="G659" t="inlineStr">
        <is>
          <t>Base</t>
        </is>
      </c>
      <c r="I659" t="n">
        <v>0</v>
      </c>
    </row>
    <row r="660">
      <c r="A660">
        <f>CHOOSE(MATCH(Config!$B$2,{"PT";"EN"},0),"Seleção","Team")</f>
        <v/>
      </c>
      <c r="B660" t="inlineStr">
        <is>
          <t>Grupo I</t>
        </is>
      </c>
      <c r="C660" t="inlineStr">
        <is>
          <t>FRA</t>
        </is>
      </c>
      <c r="D660" t="inlineStr">
        <is>
          <t>France</t>
        </is>
      </c>
      <c r="E660" t="inlineStr">
        <is>
          <t>FRA10</t>
        </is>
      </c>
      <c r="F660" t="inlineStr">
        <is>
          <t>Eduardo Camavinga - France</t>
        </is>
      </c>
      <c r="G660" t="inlineStr">
        <is>
          <t>Base</t>
        </is>
      </c>
      <c r="I660" t="n">
        <v>0</v>
      </c>
    </row>
    <row r="661">
      <c r="A661">
        <f>CHOOSE(MATCH(Config!$B$2,{"PT";"EN"},0),"Seleção","Team")</f>
        <v/>
      </c>
      <c r="B661" t="inlineStr">
        <is>
          <t>Grupo I</t>
        </is>
      </c>
      <c r="C661" t="inlineStr">
        <is>
          <t>FRA</t>
        </is>
      </c>
      <c r="D661" t="inlineStr">
        <is>
          <t>France</t>
        </is>
      </c>
      <c r="E661" t="inlineStr">
        <is>
          <t>FRA11</t>
        </is>
      </c>
      <c r="F661" t="inlineStr">
        <is>
          <t>Manu Kone - France</t>
        </is>
      </c>
      <c r="G661" t="inlineStr">
        <is>
          <t>Base</t>
        </is>
      </c>
      <c r="I661" t="n">
        <v>0</v>
      </c>
    </row>
    <row r="662">
      <c r="A662">
        <f>CHOOSE(MATCH(Config!$B$2,{"PT";"EN"},0),"Seleção","Team")</f>
        <v/>
      </c>
      <c r="B662" t="inlineStr">
        <is>
          <t>Grupo I</t>
        </is>
      </c>
      <c r="C662" t="inlineStr">
        <is>
          <t>FRA</t>
        </is>
      </c>
      <c r="D662" t="inlineStr">
        <is>
          <t>France</t>
        </is>
      </c>
      <c r="E662" t="inlineStr">
        <is>
          <t>FRA12</t>
        </is>
      </c>
      <c r="F662" t="inlineStr">
        <is>
          <t>Adrien Rabiot - France</t>
        </is>
      </c>
      <c r="G662" t="inlineStr">
        <is>
          <t>Base</t>
        </is>
      </c>
      <c r="I662" t="n">
        <v>0</v>
      </c>
    </row>
    <row r="663">
      <c r="A663">
        <f>CHOOSE(MATCH(Config!$B$2,{"PT";"EN"},0),"Seleção","Team")</f>
        <v/>
      </c>
      <c r="B663" t="inlineStr">
        <is>
          <t>Grupo I</t>
        </is>
      </c>
      <c r="C663" t="inlineStr">
        <is>
          <t>FRA</t>
        </is>
      </c>
      <c r="D663" t="inlineStr">
        <is>
          <t>France</t>
        </is>
      </c>
      <c r="E663" t="inlineStr">
        <is>
          <t>FRA13</t>
        </is>
      </c>
      <c r="F663" t="inlineStr">
        <is>
          <t>Team Photo - France</t>
        </is>
      </c>
      <c r="G663" t="inlineStr">
        <is>
          <t>Base</t>
        </is>
      </c>
      <c r="I663" t="n">
        <v>0</v>
      </c>
    </row>
    <row r="664">
      <c r="A664">
        <f>CHOOSE(MATCH(Config!$B$2,{"PT";"EN"},0),"Seleção","Team")</f>
        <v/>
      </c>
      <c r="B664" t="inlineStr">
        <is>
          <t>Grupo I</t>
        </is>
      </c>
      <c r="C664" t="inlineStr">
        <is>
          <t>FRA</t>
        </is>
      </c>
      <c r="D664" t="inlineStr">
        <is>
          <t>France</t>
        </is>
      </c>
      <c r="E664" t="inlineStr">
        <is>
          <t>FRA14</t>
        </is>
      </c>
      <c r="F664" t="inlineStr">
        <is>
          <t>Michael Olise - France</t>
        </is>
      </c>
      <c r="G664" t="inlineStr">
        <is>
          <t>Base</t>
        </is>
      </c>
      <c r="I664" t="n">
        <v>0</v>
      </c>
    </row>
    <row r="665">
      <c r="A665">
        <f>CHOOSE(MATCH(Config!$B$2,{"PT";"EN"},0),"Seleção","Team")</f>
        <v/>
      </c>
      <c r="B665" t="inlineStr">
        <is>
          <t>Grupo I</t>
        </is>
      </c>
      <c r="C665" t="inlineStr">
        <is>
          <t>FRA</t>
        </is>
      </c>
      <c r="D665" t="inlineStr">
        <is>
          <t>France</t>
        </is>
      </c>
      <c r="E665" t="inlineStr">
        <is>
          <t>FRA15</t>
        </is>
      </c>
      <c r="F665" t="inlineStr">
        <is>
          <t>Ousmane Dembele - France</t>
        </is>
      </c>
      <c r="G665" t="inlineStr">
        <is>
          <t>Base</t>
        </is>
      </c>
      <c r="I665" t="n">
        <v>0</v>
      </c>
    </row>
    <row r="666">
      <c r="A666">
        <f>CHOOSE(MATCH(Config!$B$2,{"PT";"EN"},0),"Seleção","Team")</f>
        <v/>
      </c>
      <c r="B666" t="inlineStr">
        <is>
          <t>Grupo I</t>
        </is>
      </c>
      <c r="C666" t="inlineStr">
        <is>
          <t>FRA</t>
        </is>
      </c>
      <c r="D666" t="inlineStr">
        <is>
          <t>France</t>
        </is>
      </c>
      <c r="E666" t="inlineStr">
        <is>
          <t>FRA16</t>
        </is>
      </c>
      <c r="F666" t="inlineStr">
        <is>
          <t>Bradley Barcola - France</t>
        </is>
      </c>
      <c r="G666" t="inlineStr">
        <is>
          <t>Base</t>
        </is>
      </c>
      <c r="I666" t="n">
        <v>0</v>
      </c>
    </row>
    <row r="667">
      <c r="A667">
        <f>CHOOSE(MATCH(Config!$B$2,{"PT";"EN"},0),"Seleção","Team")</f>
        <v/>
      </c>
      <c r="B667" t="inlineStr">
        <is>
          <t>Grupo I</t>
        </is>
      </c>
      <c r="C667" t="inlineStr">
        <is>
          <t>FRA</t>
        </is>
      </c>
      <c r="D667" t="inlineStr">
        <is>
          <t>France</t>
        </is>
      </c>
      <c r="E667" t="inlineStr">
        <is>
          <t>FRA17</t>
        </is>
      </c>
      <c r="F667" t="inlineStr">
        <is>
          <t>Désiré Doué - France</t>
        </is>
      </c>
      <c r="G667" t="inlineStr">
        <is>
          <t>Base</t>
        </is>
      </c>
      <c r="I667" t="n">
        <v>0</v>
      </c>
    </row>
    <row r="668">
      <c r="A668">
        <f>CHOOSE(MATCH(Config!$B$2,{"PT";"EN"},0),"Seleção","Team")</f>
        <v/>
      </c>
      <c r="B668" t="inlineStr">
        <is>
          <t>Grupo I</t>
        </is>
      </c>
      <c r="C668" t="inlineStr">
        <is>
          <t>FRA</t>
        </is>
      </c>
      <c r="D668" t="inlineStr">
        <is>
          <t>France</t>
        </is>
      </c>
      <c r="E668" t="inlineStr">
        <is>
          <t>FRA18</t>
        </is>
      </c>
      <c r="F668" t="inlineStr">
        <is>
          <t>Kingsley Coman - France</t>
        </is>
      </c>
      <c r="G668" t="inlineStr">
        <is>
          <t>Base</t>
        </is>
      </c>
      <c r="I668" t="n">
        <v>0</v>
      </c>
    </row>
    <row r="669">
      <c r="A669">
        <f>CHOOSE(MATCH(Config!$B$2,{"PT";"EN"},0),"Seleção","Team")</f>
        <v/>
      </c>
      <c r="B669" t="inlineStr">
        <is>
          <t>Grupo I</t>
        </is>
      </c>
      <c r="C669" t="inlineStr">
        <is>
          <t>FRA</t>
        </is>
      </c>
      <c r="D669" t="inlineStr">
        <is>
          <t>France</t>
        </is>
      </c>
      <c r="E669" t="inlineStr">
        <is>
          <t>FRA19</t>
        </is>
      </c>
      <c r="F669" t="inlineStr">
        <is>
          <t>Hugo Ekitike - France</t>
        </is>
      </c>
      <c r="G669" t="inlineStr">
        <is>
          <t>Base</t>
        </is>
      </c>
      <c r="I669" t="n">
        <v>0</v>
      </c>
    </row>
    <row r="670">
      <c r="A670">
        <f>CHOOSE(MATCH(Config!$B$2,{"PT";"EN"},0),"Seleção","Team")</f>
        <v/>
      </c>
      <c r="B670" t="inlineStr">
        <is>
          <t>Grupo I</t>
        </is>
      </c>
      <c r="C670" t="inlineStr">
        <is>
          <t>FRA</t>
        </is>
      </c>
      <c r="D670" t="inlineStr">
        <is>
          <t>France</t>
        </is>
      </c>
      <c r="E670" t="inlineStr">
        <is>
          <t>FRA20</t>
        </is>
      </c>
      <c r="F670" t="inlineStr">
        <is>
          <t>Kylian Mbappe - France</t>
        </is>
      </c>
      <c r="G670" t="inlineStr">
        <is>
          <t>Base</t>
        </is>
      </c>
      <c r="I670" t="n">
        <v>0</v>
      </c>
    </row>
    <row r="671">
      <c r="A671">
        <f>CHOOSE(MATCH(Config!$B$2,{"PT";"EN"},0),"Seleção","Team")</f>
        <v/>
      </c>
      <c r="B671" t="inlineStr">
        <is>
          <t>Grupo I</t>
        </is>
      </c>
      <c r="C671" t="inlineStr">
        <is>
          <t>SEN</t>
        </is>
      </c>
      <c r="D671" t="inlineStr">
        <is>
          <t>Senegal</t>
        </is>
      </c>
      <c r="E671" t="inlineStr">
        <is>
          <t>SEN1</t>
        </is>
      </c>
      <c r="F671" t="inlineStr">
        <is>
          <t>Team Logo - Senegal FOIL</t>
        </is>
      </c>
      <c r="G671" t="inlineStr">
        <is>
          <t>FOIL</t>
        </is>
      </c>
      <c r="I671" t="n">
        <v>0</v>
      </c>
    </row>
    <row r="672">
      <c r="A672">
        <f>CHOOSE(MATCH(Config!$B$2,{"PT";"EN"},0),"Seleção","Team")</f>
        <v/>
      </c>
      <c r="B672" t="inlineStr">
        <is>
          <t>Grupo I</t>
        </is>
      </c>
      <c r="C672" t="inlineStr">
        <is>
          <t>SEN</t>
        </is>
      </c>
      <c r="D672" t="inlineStr">
        <is>
          <t>Senegal</t>
        </is>
      </c>
      <c r="E672" t="inlineStr">
        <is>
          <t>SEN2</t>
        </is>
      </c>
      <c r="F672" t="inlineStr">
        <is>
          <t>Edouard Mendy - Senegal</t>
        </is>
      </c>
      <c r="G672" t="inlineStr">
        <is>
          <t>Base</t>
        </is>
      </c>
      <c r="I672" t="n">
        <v>0</v>
      </c>
    </row>
    <row r="673">
      <c r="A673">
        <f>CHOOSE(MATCH(Config!$B$2,{"PT";"EN"},0),"Seleção","Team")</f>
        <v/>
      </c>
      <c r="B673" t="inlineStr">
        <is>
          <t>Grupo I</t>
        </is>
      </c>
      <c r="C673" t="inlineStr">
        <is>
          <t>SEN</t>
        </is>
      </c>
      <c r="D673" t="inlineStr">
        <is>
          <t>Senegal</t>
        </is>
      </c>
      <c r="E673" t="inlineStr">
        <is>
          <t>SEN3</t>
        </is>
      </c>
      <c r="F673" t="inlineStr">
        <is>
          <t>Yehvann Diouf - Senegal</t>
        </is>
      </c>
      <c r="G673" t="inlineStr">
        <is>
          <t>Base</t>
        </is>
      </c>
      <c r="I673" t="n">
        <v>0</v>
      </c>
    </row>
    <row r="674">
      <c r="A674">
        <f>CHOOSE(MATCH(Config!$B$2,{"PT";"EN"},0),"Seleção","Team")</f>
        <v/>
      </c>
      <c r="B674" t="inlineStr">
        <is>
          <t>Grupo I</t>
        </is>
      </c>
      <c r="C674" t="inlineStr">
        <is>
          <t>SEN</t>
        </is>
      </c>
      <c r="D674" t="inlineStr">
        <is>
          <t>Senegal</t>
        </is>
      </c>
      <c r="E674" t="inlineStr">
        <is>
          <t>SEN4</t>
        </is>
      </c>
      <c r="F674" t="inlineStr">
        <is>
          <t>Moussa Niakhaté - Senegal</t>
        </is>
      </c>
      <c r="G674" t="inlineStr">
        <is>
          <t>Base</t>
        </is>
      </c>
      <c r="I674" t="n">
        <v>0</v>
      </c>
    </row>
    <row r="675">
      <c r="A675">
        <f>CHOOSE(MATCH(Config!$B$2,{"PT";"EN"},0),"Seleção","Team")</f>
        <v/>
      </c>
      <c r="B675" t="inlineStr">
        <is>
          <t>Grupo I</t>
        </is>
      </c>
      <c r="C675" t="inlineStr">
        <is>
          <t>SEN</t>
        </is>
      </c>
      <c r="D675" t="inlineStr">
        <is>
          <t>Senegal</t>
        </is>
      </c>
      <c r="E675" t="inlineStr">
        <is>
          <t>SEN5</t>
        </is>
      </c>
      <c r="F675" t="inlineStr">
        <is>
          <t>Abdoulaye Seck - Senegal</t>
        </is>
      </c>
      <c r="G675" t="inlineStr">
        <is>
          <t>Base</t>
        </is>
      </c>
      <c r="I675" t="n">
        <v>0</v>
      </c>
    </row>
    <row r="676">
      <c r="A676">
        <f>CHOOSE(MATCH(Config!$B$2,{"PT";"EN"},0),"Seleção","Team")</f>
        <v/>
      </c>
      <c r="B676" t="inlineStr">
        <is>
          <t>Grupo I</t>
        </is>
      </c>
      <c r="C676" t="inlineStr">
        <is>
          <t>SEN</t>
        </is>
      </c>
      <c r="D676" t="inlineStr">
        <is>
          <t>Senegal</t>
        </is>
      </c>
      <c r="E676" t="inlineStr">
        <is>
          <t>SEN6</t>
        </is>
      </c>
      <c r="F676" t="inlineStr">
        <is>
          <t>Ismail Jakobs - Senegal</t>
        </is>
      </c>
      <c r="G676" t="inlineStr">
        <is>
          <t>Base</t>
        </is>
      </c>
      <c r="I676" t="n">
        <v>0</v>
      </c>
    </row>
    <row r="677">
      <c r="A677">
        <f>CHOOSE(MATCH(Config!$B$2,{"PT";"EN"},0),"Seleção","Team")</f>
        <v/>
      </c>
      <c r="B677" t="inlineStr">
        <is>
          <t>Grupo I</t>
        </is>
      </c>
      <c r="C677" t="inlineStr">
        <is>
          <t>SEN</t>
        </is>
      </c>
      <c r="D677" t="inlineStr">
        <is>
          <t>Senegal</t>
        </is>
      </c>
      <c r="E677" t="inlineStr">
        <is>
          <t>SEN7</t>
        </is>
      </c>
      <c r="F677" t="inlineStr">
        <is>
          <t>El Hadji Malick Diouf - Senegal</t>
        </is>
      </c>
      <c r="G677" t="inlineStr">
        <is>
          <t>Base</t>
        </is>
      </c>
      <c r="I677" t="n">
        <v>0</v>
      </c>
    </row>
    <row r="678">
      <c r="A678">
        <f>CHOOSE(MATCH(Config!$B$2,{"PT";"EN"},0),"Seleção","Team")</f>
        <v/>
      </c>
      <c r="B678" t="inlineStr">
        <is>
          <t>Grupo I</t>
        </is>
      </c>
      <c r="C678" t="inlineStr">
        <is>
          <t>SEN</t>
        </is>
      </c>
      <c r="D678" t="inlineStr">
        <is>
          <t>Senegal</t>
        </is>
      </c>
      <c r="E678" t="inlineStr">
        <is>
          <t>SEN8</t>
        </is>
      </c>
      <c r="F678" t="inlineStr">
        <is>
          <t>Kalidou Koulibaly - Senegal</t>
        </is>
      </c>
      <c r="G678" t="inlineStr">
        <is>
          <t>Base</t>
        </is>
      </c>
      <c r="I678" t="n">
        <v>0</v>
      </c>
    </row>
    <row r="679">
      <c r="A679">
        <f>CHOOSE(MATCH(Config!$B$2,{"PT";"EN"},0),"Seleção","Team")</f>
        <v/>
      </c>
      <c r="B679" t="inlineStr">
        <is>
          <t>Grupo I</t>
        </is>
      </c>
      <c r="C679" t="inlineStr">
        <is>
          <t>SEN</t>
        </is>
      </c>
      <c r="D679" t="inlineStr">
        <is>
          <t>Senegal</t>
        </is>
      </c>
      <c r="E679" t="inlineStr">
        <is>
          <t>SEN9</t>
        </is>
      </c>
      <c r="F679" t="inlineStr">
        <is>
          <t>Idrissa Gana Gueye - Senegal</t>
        </is>
      </c>
      <c r="G679" t="inlineStr">
        <is>
          <t>Base</t>
        </is>
      </c>
      <c r="I679" t="n">
        <v>0</v>
      </c>
    </row>
    <row r="680">
      <c r="A680">
        <f>CHOOSE(MATCH(Config!$B$2,{"PT";"EN"},0),"Seleção","Team")</f>
        <v/>
      </c>
      <c r="B680" t="inlineStr">
        <is>
          <t>Grupo I</t>
        </is>
      </c>
      <c r="C680" t="inlineStr">
        <is>
          <t>SEN</t>
        </is>
      </c>
      <c r="D680" t="inlineStr">
        <is>
          <t>Senegal</t>
        </is>
      </c>
      <c r="E680" t="inlineStr">
        <is>
          <t>SEN10</t>
        </is>
      </c>
      <c r="F680" t="inlineStr">
        <is>
          <t>Pape Matar Sarr - Senegal</t>
        </is>
      </c>
      <c r="G680" t="inlineStr">
        <is>
          <t>Base</t>
        </is>
      </c>
      <c r="I680" t="n">
        <v>0</v>
      </c>
    </row>
    <row r="681">
      <c r="A681">
        <f>CHOOSE(MATCH(Config!$B$2,{"PT";"EN"},0),"Seleção","Team")</f>
        <v/>
      </c>
      <c r="B681" t="inlineStr">
        <is>
          <t>Grupo I</t>
        </is>
      </c>
      <c r="C681" t="inlineStr">
        <is>
          <t>SEN</t>
        </is>
      </c>
      <c r="D681" t="inlineStr">
        <is>
          <t>Senegal</t>
        </is>
      </c>
      <c r="E681" t="inlineStr">
        <is>
          <t>SEN11</t>
        </is>
      </c>
      <c r="F681" t="inlineStr">
        <is>
          <t>Pape Gueye - Senegal</t>
        </is>
      </c>
      <c r="G681" t="inlineStr">
        <is>
          <t>Base</t>
        </is>
      </c>
      <c r="I681" t="n">
        <v>0</v>
      </c>
    </row>
    <row r="682">
      <c r="A682">
        <f>CHOOSE(MATCH(Config!$B$2,{"PT";"EN"},0),"Seleção","Team")</f>
        <v/>
      </c>
      <c r="B682" t="inlineStr">
        <is>
          <t>Grupo I</t>
        </is>
      </c>
      <c r="C682" t="inlineStr">
        <is>
          <t>SEN</t>
        </is>
      </c>
      <c r="D682" t="inlineStr">
        <is>
          <t>Senegal</t>
        </is>
      </c>
      <c r="E682" t="inlineStr">
        <is>
          <t>SEN12</t>
        </is>
      </c>
      <c r="F682" t="inlineStr">
        <is>
          <t>Habib Diarra - Senegal</t>
        </is>
      </c>
      <c r="G682" t="inlineStr">
        <is>
          <t>Base</t>
        </is>
      </c>
      <c r="I682" t="n">
        <v>0</v>
      </c>
    </row>
    <row r="683">
      <c r="A683">
        <f>CHOOSE(MATCH(Config!$B$2,{"PT";"EN"},0),"Seleção","Team")</f>
        <v/>
      </c>
      <c r="B683" t="inlineStr">
        <is>
          <t>Grupo I</t>
        </is>
      </c>
      <c r="C683" t="inlineStr">
        <is>
          <t>SEN</t>
        </is>
      </c>
      <c r="D683" t="inlineStr">
        <is>
          <t>Senegal</t>
        </is>
      </c>
      <c r="E683" t="inlineStr">
        <is>
          <t>SEN13</t>
        </is>
      </c>
      <c r="F683" t="inlineStr">
        <is>
          <t>Team Photo - Senegal</t>
        </is>
      </c>
      <c r="G683" t="inlineStr">
        <is>
          <t>Base</t>
        </is>
      </c>
      <c r="I683" t="n">
        <v>0</v>
      </c>
    </row>
    <row r="684">
      <c r="A684">
        <f>CHOOSE(MATCH(Config!$B$2,{"PT";"EN"},0),"Seleção","Team")</f>
        <v/>
      </c>
      <c r="B684" t="inlineStr">
        <is>
          <t>Grupo I</t>
        </is>
      </c>
      <c r="C684" t="inlineStr">
        <is>
          <t>SEN</t>
        </is>
      </c>
      <c r="D684" t="inlineStr">
        <is>
          <t>Senegal</t>
        </is>
      </c>
      <c r="E684" t="inlineStr">
        <is>
          <t>SEN14</t>
        </is>
      </c>
      <c r="F684" t="inlineStr">
        <is>
          <t>Lamine Camara - Senegal</t>
        </is>
      </c>
      <c r="G684" t="inlineStr">
        <is>
          <t>Base</t>
        </is>
      </c>
      <c r="I684" t="n">
        <v>0</v>
      </c>
    </row>
    <row r="685">
      <c r="A685">
        <f>CHOOSE(MATCH(Config!$B$2,{"PT";"EN"},0),"Seleção","Team")</f>
        <v/>
      </c>
      <c r="B685" t="inlineStr">
        <is>
          <t>Grupo I</t>
        </is>
      </c>
      <c r="C685" t="inlineStr">
        <is>
          <t>SEN</t>
        </is>
      </c>
      <c r="D685" t="inlineStr">
        <is>
          <t>Senegal</t>
        </is>
      </c>
      <c r="E685" t="inlineStr">
        <is>
          <t>SEN15</t>
        </is>
      </c>
      <c r="F685" t="inlineStr">
        <is>
          <t>Sadio Mane - Senegal</t>
        </is>
      </c>
      <c r="G685" t="inlineStr">
        <is>
          <t>Base</t>
        </is>
      </c>
      <c r="I685" t="n">
        <v>0</v>
      </c>
    </row>
    <row r="686">
      <c r="A686">
        <f>CHOOSE(MATCH(Config!$B$2,{"PT";"EN"},0),"Seleção","Team")</f>
        <v/>
      </c>
      <c r="B686" t="inlineStr">
        <is>
          <t>Grupo I</t>
        </is>
      </c>
      <c r="C686" t="inlineStr">
        <is>
          <t>SEN</t>
        </is>
      </c>
      <c r="D686" t="inlineStr">
        <is>
          <t>Senegal</t>
        </is>
      </c>
      <c r="E686" t="inlineStr">
        <is>
          <t>SEN16</t>
        </is>
      </c>
      <c r="F686" t="inlineStr">
        <is>
          <t>Ismaïla Sarr - Senegal</t>
        </is>
      </c>
      <c r="G686" t="inlineStr">
        <is>
          <t>Base</t>
        </is>
      </c>
      <c r="I686" t="n">
        <v>0</v>
      </c>
    </row>
    <row r="687">
      <c r="A687">
        <f>CHOOSE(MATCH(Config!$B$2,{"PT";"EN"},0),"Seleção","Team")</f>
        <v/>
      </c>
      <c r="B687" t="inlineStr">
        <is>
          <t>Grupo I</t>
        </is>
      </c>
      <c r="C687" t="inlineStr">
        <is>
          <t>SEN</t>
        </is>
      </c>
      <c r="D687" t="inlineStr">
        <is>
          <t>Senegal</t>
        </is>
      </c>
      <c r="E687" t="inlineStr">
        <is>
          <t>SEN17</t>
        </is>
      </c>
      <c r="F687" t="inlineStr">
        <is>
          <t>Boulaye Dia - Senegal</t>
        </is>
      </c>
      <c r="G687" t="inlineStr">
        <is>
          <t>Base</t>
        </is>
      </c>
      <c r="I687" t="n">
        <v>0</v>
      </c>
    </row>
    <row r="688">
      <c r="A688">
        <f>CHOOSE(MATCH(Config!$B$2,{"PT";"EN"},0),"Seleção","Team")</f>
        <v/>
      </c>
      <c r="B688" t="inlineStr">
        <is>
          <t>Grupo I</t>
        </is>
      </c>
      <c r="C688" t="inlineStr">
        <is>
          <t>SEN</t>
        </is>
      </c>
      <c r="D688" t="inlineStr">
        <is>
          <t>Senegal</t>
        </is>
      </c>
      <c r="E688" t="inlineStr">
        <is>
          <t>SEN18</t>
        </is>
      </c>
      <c r="F688" t="inlineStr">
        <is>
          <t>Iliman Ndiaye - Senegal</t>
        </is>
      </c>
      <c r="G688" t="inlineStr">
        <is>
          <t>Base</t>
        </is>
      </c>
      <c r="I688" t="n">
        <v>0</v>
      </c>
    </row>
    <row r="689">
      <c r="A689">
        <f>CHOOSE(MATCH(Config!$B$2,{"PT";"EN"},0),"Seleção","Team")</f>
        <v/>
      </c>
      <c r="B689" t="inlineStr">
        <is>
          <t>Grupo I</t>
        </is>
      </c>
      <c r="C689" t="inlineStr">
        <is>
          <t>SEN</t>
        </is>
      </c>
      <c r="D689" t="inlineStr">
        <is>
          <t>Senegal</t>
        </is>
      </c>
      <c r="E689" t="inlineStr">
        <is>
          <t>SEN19</t>
        </is>
      </c>
      <c r="F689" t="inlineStr">
        <is>
          <t>Nicolas Jackson - Senegal</t>
        </is>
      </c>
      <c r="G689" t="inlineStr">
        <is>
          <t>Base</t>
        </is>
      </c>
      <c r="I689" t="n">
        <v>0</v>
      </c>
    </row>
    <row r="690">
      <c r="A690">
        <f>CHOOSE(MATCH(Config!$B$2,{"PT";"EN"},0),"Seleção","Team")</f>
        <v/>
      </c>
      <c r="B690" t="inlineStr">
        <is>
          <t>Grupo I</t>
        </is>
      </c>
      <c r="C690" t="inlineStr">
        <is>
          <t>SEN</t>
        </is>
      </c>
      <c r="D690" t="inlineStr">
        <is>
          <t>Senegal</t>
        </is>
      </c>
      <c r="E690" t="inlineStr">
        <is>
          <t>SEN20</t>
        </is>
      </c>
      <c r="F690" t="inlineStr">
        <is>
          <t>Krepin Diatta - Senegal</t>
        </is>
      </c>
      <c r="G690" t="inlineStr">
        <is>
          <t>Base</t>
        </is>
      </c>
      <c r="I690" t="n">
        <v>0</v>
      </c>
    </row>
    <row r="691">
      <c r="A691">
        <f>CHOOSE(MATCH(Config!$B$2,{"PT";"EN"},0),"Seleção","Team")</f>
        <v/>
      </c>
      <c r="B691" t="inlineStr">
        <is>
          <t>Grupo I</t>
        </is>
      </c>
      <c r="C691" t="inlineStr">
        <is>
          <t>IRQ</t>
        </is>
      </c>
      <c r="D691" t="inlineStr">
        <is>
          <t>Iraq</t>
        </is>
      </c>
      <c r="E691" t="inlineStr">
        <is>
          <t>IRQ1</t>
        </is>
      </c>
      <c r="F691" t="inlineStr">
        <is>
          <t>Team Logo - Iraq FOIL</t>
        </is>
      </c>
      <c r="G691" t="inlineStr">
        <is>
          <t>FOIL</t>
        </is>
      </c>
      <c r="I691" t="n">
        <v>0</v>
      </c>
    </row>
    <row r="692">
      <c r="A692">
        <f>CHOOSE(MATCH(Config!$B$2,{"PT";"EN"},0),"Seleção","Team")</f>
        <v/>
      </c>
      <c r="B692" t="inlineStr">
        <is>
          <t>Grupo I</t>
        </is>
      </c>
      <c r="C692" t="inlineStr">
        <is>
          <t>IRQ</t>
        </is>
      </c>
      <c r="D692" t="inlineStr">
        <is>
          <t>Iraq</t>
        </is>
      </c>
      <c r="E692" t="inlineStr">
        <is>
          <t>IRQ2</t>
        </is>
      </c>
      <c r="F692" t="inlineStr">
        <is>
          <t>Jalal Hassan - Iraq</t>
        </is>
      </c>
      <c r="G692" t="inlineStr">
        <is>
          <t>Base</t>
        </is>
      </c>
      <c r="I692" t="n">
        <v>0</v>
      </c>
    </row>
    <row r="693">
      <c r="A693">
        <f>CHOOSE(MATCH(Config!$B$2,{"PT";"EN"},0),"Seleção","Team")</f>
        <v/>
      </c>
      <c r="B693" t="inlineStr">
        <is>
          <t>Grupo I</t>
        </is>
      </c>
      <c r="C693" t="inlineStr">
        <is>
          <t>IRQ</t>
        </is>
      </c>
      <c r="D693" t="inlineStr">
        <is>
          <t>Iraq</t>
        </is>
      </c>
      <c r="E693" t="inlineStr">
        <is>
          <t>IRQ3</t>
        </is>
      </c>
      <c r="F693" t="inlineStr">
        <is>
          <t>Rebin Sulaka - Iraq</t>
        </is>
      </c>
      <c r="G693" t="inlineStr">
        <is>
          <t>Base</t>
        </is>
      </c>
      <c r="I693" t="n">
        <v>0</v>
      </c>
    </row>
    <row r="694">
      <c r="A694">
        <f>CHOOSE(MATCH(Config!$B$2,{"PT";"EN"},0),"Seleção","Team")</f>
        <v/>
      </c>
      <c r="B694" t="inlineStr">
        <is>
          <t>Grupo I</t>
        </is>
      </c>
      <c r="C694" t="inlineStr">
        <is>
          <t>IRQ</t>
        </is>
      </c>
      <c r="D694" t="inlineStr">
        <is>
          <t>Iraq</t>
        </is>
      </c>
      <c r="E694" t="inlineStr">
        <is>
          <t>IRQ4</t>
        </is>
      </c>
      <c r="F694" t="inlineStr">
        <is>
          <t>Hussein Ali - Iraq</t>
        </is>
      </c>
      <c r="G694" t="inlineStr">
        <is>
          <t>Base</t>
        </is>
      </c>
      <c r="I694" t="n">
        <v>0</v>
      </c>
    </row>
    <row r="695">
      <c r="A695">
        <f>CHOOSE(MATCH(Config!$B$2,{"PT";"EN"},0),"Seleção","Team")</f>
        <v/>
      </c>
      <c r="B695" t="inlineStr">
        <is>
          <t>Grupo I</t>
        </is>
      </c>
      <c r="C695" t="inlineStr">
        <is>
          <t>IRQ</t>
        </is>
      </c>
      <c r="D695" t="inlineStr">
        <is>
          <t>Iraq</t>
        </is>
      </c>
      <c r="E695" t="inlineStr">
        <is>
          <t>IRQ5</t>
        </is>
      </c>
      <c r="F695" t="inlineStr">
        <is>
          <t>Akam Hashem - Iraq</t>
        </is>
      </c>
      <c r="G695" t="inlineStr">
        <is>
          <t>Base</t>
        </is>
      </c>
      <c r="I695" t="n">
        <v>0</v>
      </c>
    </row>
    <row r="696">
      <c r="A696">
        <f>CHOOSE(MATCH(Config!$B$2,{"PT";"EN"},0),"Seleção","Team")</f>
        <v/>
      </c>
      <c r="B696" t="inlineStr">
        <is>
          <t>Grupo I</t>
        </is>
      </c>
      <c r="C696" t="inlineStr">
        <is>
          <t>IRQ</t>
        </is>
      </c>
      <c r="D696" t="inlineStr">
        <is>
          <t>Iraq</t>
        </is>
      </c>
      <c r="E696" t="inlineStr">
        <is>
          <t>IRQ6</t>
        </is>
      </c>
      <c r="F696" t="inlineStr">
        <is>
          <t>Merchas Doski - Iraq</t>
        </is>
      </c>
      <c r="G696" t="inlineStr">
        <is>
          <t>Base</t>
        </is>
      </c>
      <c r="I696" t="n">
        <v>0</v>
      </c>
    </row>
    <row r="697">
      <c r="A697">
        <f>CHOOSE(MATCH(Config!$B$2,{"PT";"EN"},0),"Seleção","Team")</f>
        <v/>
      </c>
      <c r="B697" t="inlineStr">
        <is>
          <t>Grupo I</t>
        </is>
      </c>
      <c r="C697" t="inlineStr">
        <is>
          <t>IRQ</t>
        </is>
      </c>
      <c r="D697" t="inlineStr">
        <is>
          <t>Iraq</t>
        </is>
      </c>
      <c r="E697" t="inlineStr">
        <is>
          <t>IRQ7</t>
        </is>
      </c>
      <c r="F697" t="inlineStr">
        <is>
          <t>Zaid Tahseen - Iraq</t>
        </is>
      </c>
      <c r="G697" t="inlineStr">
        <is>
          <t>Base</t>
        </is>
      </c>
      <c r="I697" t="n">
        <v>0</v>
      </c>
    </row>
    <row r="698">
      <c r="A698">
        <f>CHOOSE(MATCH(Config!$B$2,{"PT";"EN"},0),"Seleção","Team")</f>
        <v/>
      </c>
      <c r="B698" t="inlineStr">
        <is>
          <t>Grupo I</t>
        </is>
      </c>
      <c r="C698" t="inlineStr">
        <is>
          <t>IRQ</t>
        </is>
      </c>
      <c r="D698" t="inlineStr">
        <is>
          <t>Iraq</t>
        </is>
      </c>
      <c r="E698" t="inlineStr">
        <is>
          <t>IRQ8</t>
        </is>
      </c>
      <c r="F698" t="inlineStr">
        <is>
          <t>Manaf Younis - Iraq</t>
        </is>
      </c>
      <c r="G698" t="inlineStr">
        <is>
          <t>Base</t>
        </is>
      </c>
      <c r="I698" t="n">
        <v>0</v>
      </c>
    </row>
    <row r="699">
      <c r="A699">
        <f>CHOOSE(MATCH(Config!$B$2,{"PT";"EN"},0),"Seleção","Team")</f>
        <v/>
      </c>
      <c r="B699" t="inlineStr">
        <is>
          <t>Grupo I</t>
        </is>
      </c>
      <c r="C699" t="inlineStr">
        <is>
          <t>IRQ</t>
        </is>
      </c>
      <c r="D699" t="inlineStr">
        <is>
          <t>Iraq</t>
        </is>
      </c>
      <c r="E699" t="inlineStr">
        <is>
          <t>IRQ9</t>
        </is>
      </c>
      <c r="F699" t="inlineStr">
        <is>
          <t>Zidane Iqbal - Iraq</t>
        </is>
      </c>
      <c r="G699" t="inlineStr">
        <is>
          <t>Base</t>
        </is>
      </c>
      <c r="I699" t="n">
        <v>0</v>
      </c>
    </row>
    <row r="700">
      <c r="A700">
        <f>CHOOSE(MATCH(Config!$B$2,{"PT";"EN"},0),"Seleção","Team")</f>
        <v/>
      </c>
      <c r="B700" t="inlineStr">
        <is>
          <t>Grupo I</t>
        </is>
      </c>
      <c r="C700" t="inlineStr">
        <is>
          <t>IRQ</t>
        </is>
      </c>
      <c r="D700" t="inlineStr">
        <is>
          <t>Iraq</t>
        </is>
      </c>
      <c r="E700" t="inlineStr">
        <is>
          <t>IRQ10</t>
        </is>
      </c>
      <c r="F700" t="inlineStr">
        <is>
          <t>Amir Al-Ammari - Iraq</t>
        </is>
      </c>
      <c r="G700" t="inlineStr">
        <is>
          <t>Base</t>
        </is>
      </c>
      <c r="I700" t="n">
        <v>0</v>
      </c>
    </row>
    <row r="701">
      <c r="A701">
        <f>CHOOSE(MATCH(Config!$B$2,{"PT";"EN"},0),"Seleção","Team")</f>
        <v/>
      </c>
      <c r="B701" t="inlineStr">
        <is>
          <t>Grupo I</t>
        </is>
      </c>
      <c r="C701" t="inlineStr">
        <is>
          <t>IRQ</t>
        </is>
      </c>
      <c r="D701" t="inlineStr">
        <is>
          <t>Iraq</t>
        </is>
      </c>
      <c r="E701" t="inlineStr">
        <is>
          <t>IRQ11</t>
        </is>
      </c>
      <c r="F701" t="inlineStr">
        <is>
          <t>Ibrahim Bavesh - Iraq</t>
        </is>
      </c>
      <c r="G701" t="inlineStr">
        <is>
          <t>Base</t>
        </is>
      </c>
      <c r="I701" t="n">
        <v>0</v>
      </c>
    </row>
    <row r="702">
      <c r="A702">
        <f>CHOOSE(MATCH(Config!$B$2,{"PT";"EN"},0),"Seleção","Team")</f>
        <v/>
      </c>
      <c r="B702" t="inlineStr">
        <is>
          <t>Grupo I</t>
        </is>
      </c>
      <c r="C702" t="inlineStr">
        <is>
          <t>IRQ</t>
        </is>
      </c>
      <c r="D702" t="inlineStr">
        <is>
          <t>Iraq</t>
        </is>
      </c>
      <c r="E702" t="inlineStr">
        <is>
          <t>IRQ12</t>
        </is>
      </c>
      <c r="F702" t="inlineStr">
        <is>
          <t>Ali Jasim - Iraq</t>
        </is>
      </c>
      <c r="G702" t="inlineStr">
        <is>
          <t>Base</t>
        </is>
      </c>
      <c r="I702" t="n">
        <v>0</v>
      </c>
    </row>
    <row r="703">
      <c r="A703">
        <f>CHOOSE(MATCH(Config!$B$2,{"PT";"EN"},0),"Seleção","Team")</f>
        <v/>
      </c>
      <c r="B703" t="inlineStr">
        <is>
          <t>Grupo I</t>
        </is>
      </c>
      <c r="C703" t="inlineStr">
        <is>
          <t>IRQ</t>
        </is>
      </c>
      <c r="D703" t="inlineStr">
        <is>
          <t>Iraq</t>
        </is>
      </c>
      <c r="E703" t="inlineStr">
        <is>
          <t>IRQ13</t>
        </is>
      </c>
      <c r="F703" t="inlineStr">
        <is>
          <t>Team Photo - Iraq</t>
        </is>
      </c>
      <c r="G703" t="inlineStr">
        <is>
          <t>Base</t>
        </is>
      </c>
      <c r="I703" t="n">
        <v>0</v>
      </c>
    </row>
    <row r="704">
      <c r="A704">
        <f>CHOOSE(MATCH(Config!$B$2,{"PT";"EN"},0),"Seleção","Team")</f>
        <v/>
      </c>
      <c r="B704" t="inlineStr">
        <is>
          <t>Grupo I</t>
        </is>
      </c>
      <c r="C704" t="inlineStr">
        <is>
          <t>IRQ</t>
        </is>
      </c>
      <c r="D704" t="inlineStr">
        <is>
          <t>Iraq</t>
        </is>
      </c>
      <c r="E704" t="inlineStr">
        <is>
          <t>IRQ14</t>
        </is>
      </c>
      <c r="F704" t="inlineStr">
        <is>
          <t>Youssef Amyn - Iraq</t>
        </is>
      </c>
      <c r="G704" t="inlineStr">
        <is>
          <t>Base</t>
        </is>
      </c>
      <c r="I704" t="n">
        <v>0</v>
      </c>
    </row>
    <row r="705">
      <c r="A705">
        <f>CHOOSE(MATCH(Config!$B$2,{"PT";"EN"},0),"Seleção","Team")</f>
        <v/>
      </c>
      <c r="B705" t="inlineStr">
        <is>
          <t>Grupo I</t>
        </is>
      </c>
      <c r="C705" t="inlineStr">
        <is>
          <t>IRQ</t>
        </is>
      </c>
      <c r="D705" t="inlineStr">
        <is>
          <t>Iraq</t>
        </is>
      </c>
      <c r="E705" t="inlineStr">
        <is>
          <t>IRQ15</t>
        </is>
      </c>
      <c r="F705" t="inlineStr">
        <is>
          <t>Aimar Sher - Iraq</t>
        </is>
      </c>
      <c r="G705" t="inlineStr">
        <is>
          <t>Base</t>
        </is>
      </c>
      <c r="I705" t="n">
        <v>0</v>
      </c>
    </row>
    <row r="706">
      <c r="A706">
        <f>CHOOSE(MATCH(Config!$B$2,{"PT";"EN"},0),"Seleção","Team")</f>
        <v/>
      </c>
      <c r="B706" t="inlineStr">
        <is>
          <t>Grupo I</t>
        </is>
      </c>
      <c r="C706" t="inlineStr">
        <is>
          <t>IRQ</t>
        </is>
      </c>
      <c r="D706" t="inlineStr">
        <is>
          <t>Iraq</t>
        </is>
      </c>
      <c r="E706" t="inlineStr">
        <is>
          <t>IRQ16</t>
        </is>
      </c>
      <c r="F706" t="inlineStr">
        <is>
          <t>Marko Farji - Iraq</t>
        </is>
      </c>
      <c r="G706" t="inlineStr">
        <is>
          <t>Base</t>
        </is>
      </c>
      <c r="I706" t="n">
        <v>0</v>
      </c>
    </row>
    <row r="707">
      <c r="A707">
        <f>CHOOSE(MATCH(Config!$B$2,{"PT";"EN"},0),"Seleção","Team")</f>
        <v/>
      </c>
      <c r="B707" t="inlineStr">
        <is>
          <t>Grupo I</t>
        </is>
      </c>
      <c r="C707" t="inlineStr">
        <is>
          <t>IRQ</t>
        </is>
      </c>
      <c r="D707" t="inlineStr">
        <is>
          <t>Iraq</t>
        </is>
      </c>
      <c r="E707" t="inlineStr">
        <is>
          <t>IRQ17</t>
        </is>
      </c>
      <c r="F707" t="inlineStr">
        <is>
          <t>Osama Rashid - Iraq</t>
        </is>
      </c>
      <c r="G707" t="inlineStr">
        <is>
          <t>Base</t>
        </is>
      </c>
      <c r="I707" t="n">
        <v>0</v>
      </c>
    </row>
    <row r="708">
      <c r="A708">
        <f>CHOOSE(MATCH(Config!$B$2,{"PT";"EN"},0),"Seleção","Team")</f>
        <v/>
      </c>
      <c r="B708" t="inlineStr">
        <is>
          <t>Grupo I</t>
        </is>
      </c>
      <c r="C708" t="inlineStr">
        <is>
          <t>IRQ</t>
        </is>
      </c>
      <c r="D708" t="inlineStr">
        <is>
          <t>Iraq</t>
        </is>
      </c>
      <c r="E708" t="inlineStr">
        <is>
          <t>IRQ18</t>
        </is>
      </c>
      <c r="F708" t="inlineStr">
        <is>
          <t>Ali Al-Hamadi - Iraq</t>
        </is>
      </c>
      <c r="G708" t="inlineStr">
        <is>
          <t>Base</t>
        </is>
      </c>
      <c r="I708" t="n">
        <v>0</v>
      </c>
    </row>
    <row r="709">
      <c r="A709">
        <f>CHOOSE(MATCH(Config!$B$2,{"PT";"EN"},0),"Seleção","Team")</f>
        <v/>
      </c>
      <c r="B709" t="inlineStr">
        <is>
          <t>Grupo I</t>
        </is>
      </c>
      <c r="C709" t="inlineStr">
        <is>
          <t>IRQ</t>
        </is>
      </c>
      <c r="D709" t="inlineStr">
        <is>
          <t>Iraq</t>
        </is>
      </c>
      <c r="E709" t="inlineStr">
        <is>
          <t>IRQ19</t>
        </is>
      </c>
      <c r="F709" t="inlineStr">
        <is>
          <t>Aymen Hussein - Iraq</t>
        </is>
      </c>
      <c r="G709" t="inlineStr">
        <is>
          <t>Base</t>
        </is>
      </c>
      <c r="I709" t="n">
        <v>0</v>
      </c>
    </row>
    <row r="710">
      <c r="A710">
        <f>CHOOSE(MATCH(Config!$B$2,{"PT";"EN"},0),"Seleção","Team")</f>
        <v/>
      </c>
      <c r="B710" t="inlineStr">
        <is>
          <t>Grupo I</t>
        </is>
      </c>
      <c r="C710" t="inlineStr">
        <is>
          <t>IRQ</t>
        </is>
      </c>
      <c r="D710" t="inlineStr">
        <is>
          <t>Iraq</t>
        </is>
      </c>
      <c r="E710" t="inlineStr">
        <is>
          <t>IRQ20</t>
        </is>
      </c>
      <c r="F710" t="inlineStr">
        <is>
          <t>Mohanad Ali - Iraq</t>
        </is>
      </c>
      <c r="G710" t="inlineStr">
        <is>
          <t>Base</t>
        </is>
      </c>
      <c r="I710" t="n">
        <v>0</v>
      </c>
    </row>
    <row r="711">
      <c r="A711">
        <f>CHOOSE(MATCH(Config!$B$2,{"PT";"EN"},0),"Seleção","Team")</f>
        <v/>
      </c>
      <c r="B711" t="inlineStr">
        <is>
          <t>Grupo I</t>
        </is>
      </c>
      <c r="C711" t="inlineStr">
        <is>
          <t>NOR</t>
        </is>
      </c>
      <c r="D711" t="inlineStr">
        <is>
          <t>Norway</t>
        </is>
      </c>
      <c r="E711" t="inlineStr">
        <is>
          <t>NOR1</t>
        </is>
      </c>
      <c r="F711" t="inlineStr">
        <is>
          <t>Team Logo - Norway FOIL</t>
        </is>
      </c>
      <c r="G711" t="inlineStr">
        <is>
          <t>FOIL</t>
        </is>
      </c>
      <c r="I711" t="n">
        <v>0</v>
      </c>
    </row>
    <row r="712">
      <c r="A712">
        <f>CHOOSE(MATCH(Config!$B$2,{"PT";"EN"},0),"Seleção","Team")</f>
        <v/>
      </c>
      <c r="B712" t="inlineStr">
        <is>
          <t>Grupo I</t>
        </is>
      </c>
      <c r="C712" t="inlineStr">
        <is>
          <t>NOR</t>
        </is>
      </c>
      <c r="D712" t="inlineStr">
        <is>
          <t>Norway</t>
        </is>
      </c>
      <c r="E712" t="inlineStr">
        <is>
          <t>NOR2</t>
        </is>
      </c>
      <c r="F712" t="inlineStr">
        <is>
          <t>Orjan Nyland - Norway</t>
        </is>
      </c>
      <c r="G712" t="inlineStr">
        <is>
          <t>Base</t>
        </is>
      </c>
      <c r="I712" t="n">
        <v>0</v>
      </c>
    </row>
    <row r="713">
      <c r="A713">
        <f>CHOOSE(MATCH(Config!$B$2,{"PT";"EN"},0),"Seleção","Team")</f>
        <v/>
      </c>
      <c r="B713" t="inlineStr">
        <is>
          <t>Grupo I</t>
        </is>
      </c>
      <c r="C713" t="inlineStr">
        <is>
          <t>NOR</t>
        </is>
      </c>
      <c r="D713" t="inlineStr">
        <is>
          <t>Norway</t>
        </is>
      </c>
      <c r="E713" t="inlineStr">
        <is>
          <t>NOR3</t>
        </is>
      </c>
      <c r="F713" t="inlineStr">
        <is>
          <t>Julian Ryerson - Norway</t>
        </is>
      </c>
      <c r="G713" t="inlineStr">
        <is>
          <t>Base</t>
        </is>
      </c>
      <c r="I713" t="n">
        <v>0</v>
      </c>
    </row>
    <row r="714">
      <c r="A714">
        <f>CHOOSE(MATCH(Config!$B$2,{"PT";"EN"},0),"Seleção","Team")</f>
        <v/>
      </c>
      <c r="B714" t="inlineStr">
        <is>
          <t>Grupo I</t>
        </is>
      </c>
      <c r="C714" t="inlineStr">
        <is>
          <t>NOR</t>
        </is>
      </c>
      <c r="D714" t="inlineStr">
        <is>
          <t>Norway</t>
        </is>
      </c>
      <c r="E714" t="inlineStr">
        <is>
          <t>NOR4</t>
        </is>
      </c>
      <c r="F714" t="inlineStr">
        <is>
          <t>Leo Ostigård - Norway</t>
        </is>
      </c>
      <c r="G714" t="inlineStr">
        <is>
          <t>Base</t>
        </is>
      </c>
      <c r="I714" t="n">
        <v>0</v>
      </c>
    </row>
    <row r="715">
      <c r="A715">
        <f>CHOOSE(MATCH(Config!$B$2,{"PT";"EN"},0),"Seleção","Team")</f>
        <v/>
      </c>
      <c r="B715" t="inlineStr">
        <is>
          <t>Grupo I</t>
        </is>
      </c>
      <c r="C715" t="inlineStr">
        <is>
          <t>NOR</t>
        </is>
      </c>
      <c r="D715" t="inlineStr">
        <is>
          <t>Norway</t>
        </is>
      </c>
      <c r="E715" t="inlineStr">
        <is>
          <t>NOR5</t>
        </is>
      </c>
      <c r="F715" t="inlineStr">
        <is>
          <t>Kristoffer Vassbakk Ajer - Norway</t>
        </is>
      </c>
      <c r="G715" t="inlineStr">
        <is>
          <t>Base</t>
        </is>
      </c>
      <c r="I715" t="n">
        <v>0</v>
      </c>
    </row>
    <row r="716">
      <c r="A716">
        <f>CHOOSE(MATCH(Config!$B$2,{"PT";"EN"},0),"Seleção","Team")</f>
        <v/>
      </c>
      <c r="B716" t="inlineStr">
        <is>
          <t>Grupo I</t>
        </is>
      </c>
      <c r="C716" t="inlineStr">
        <is>
          <t>NOR</t>
        </is>
      </c>
      <c r="D716" t="inlineStr">
        <is>
          <t>Norway</t>
        </is>
      </c>
      <c r="E716" t="inlineStr">
        <is>
          <t>NOR6</t>
        </is>
      </c>
      <c r="F716" t="inlineStr">
        <is>
          <t>Marcus Holmgren Pedersen - Norway</t>
        </is>
      </c>
      <c r="G716" t="inlineStr">
        <is>
          <t>Base</t>
        </is>
      </c>
      <c r="I716" t="n">
        <v>0</v>
      </c>
    </row>
    <row r="717">
      <c r="A717">
        <f>CHOOSE(MATCH(Config!$B$2,{"PT";"EN"},0),"Seleção","Team")</f>
        <v/>
      </c>
      <c r="B717" t="inlineStr">
        <is>
          <t>Grupo I</t>
        </is>
      </c>
      <c r="C717" t="inlineStr">
        <is>
          <t>NOR</t>
        </is>
      </c>
      <c r="D717" t="inlineStr">
        <is>
          <t>Norway</t>
        </is>
      </c>
      <c r="E717" t="inlineStr">
        <is>
          <t>NOR7</t>
        </is>
      </c>
      <c r="F717" t="inlineStr">
        <is>
          <t>David Møller Wolfe - Norway</t>
        </is>
      </c>
      <c r="G717" t="inlineStr">
        <is>
          <t>Base</t>
        </is>
      </c>
      <c r="I717" t="n">
        <v>0</v>
      </c>
    </row>
    <row r="718">
      <c r="A718">
        <f>CHOOSE(MATCH(Config!$B$2,{"PT";"EN"},0),"Seleção","Team")</f>
        <v/>
      </c>
      <c r="B718" t="inlineStr">
        <is>
          <t>Grupo I</t>
        </is>
      </c>
      <c r="C718" t="inlineStr">
        <is>
          <t>NOR</t>
        </is>
      </c>
      <c r="D718" t="inlineStr">
        <is>
          <t>Norway</t>
        </is>
      </c>
      <c r="E718" t="inlineStr">
        <is>
          <t>NOR8</t>
        </is>
      </c>
      <c r="F718" t="inlineStr">
        <is>
          <t>Torbjørn Heggem - Norway</t>
        </is>
      </c>
      <c r="G718" t="inlineStr">
        <is>
          <t>Base</t>
        </is>
      </c>
      <c r="I718" t="n">
        <v>0</v>
      </c>
    </row>
    <row r="719">
      <c r="A719">
        <f>CHOOSE(MATCH(Config!$B$2,{"PT";"EN"},0),"Seleção","Team")</f>
        <v/>
      </c>
      <c r="B719" t="inlineStr">
        <is>
          <t>Grupo I</t>
        </is>
      </c>
      <c r="C719" t="inlineStr">
        <is>
          <t>NOR</t>
        </is>
      </c>
      <c r="D719" t="inlineStr">
        <is>
          <t>Norway</t>
        </is>
      </c>
      <c r="E719" t="inlineStr">
        <is>
          <t>NOR9</t>
        </is>
      </c>
      <c r="F719" t="inlineStr">
        <is>
          <t>Morten Thorsby - Norway</t>
        </is>
      </c>
      <c r="G719" t="inlineStr">
        <is>
          <t>Base</t>
        </is>
      </c>
      <c r="I719" t="n">
        <v>0</v>
      </c>
    </row>
    <row r="720">
      <c r="A720">
        <f>CHOOSE(MATCH(Config!$B$2,{"PT";"EN"},0),"Seleção","Team")</f>
        <v/>
      </c>
      <c r="B720" t="inlineStr">
        <is>
          <t>Grupo I</t>
        </is>
      </c>
      <c r="C720" t="inlineStr">
        <is>
          <t>NOR</t>
        </is>
      </c>
      <c r="D720" t="inlineStr">
        <is>
          <t>Norway</t>
        </is>
      </c>
      <c r="E720" t="inlineStr">
        <is>
          <t>NOR10</t>
        </is>
      </c>
      <c r="F720" t="inlineStr">
        <is>
          <t>Martin Ødegaard - Norway</t>
        </is>
      </c>
      <c r="G720" t="inlineStr">
        <is>
          <t>Base</t>
        </is>
      </c>
      <c r="I720" t="n">
        <v>0</v>
      </c>
    </row>
    <row r="721">
      <c r="A721">
        <f>CHOOSE(MATCH(Config!$B$2,{"PT";"EN"},0),"Seleção","Team")</f>
        <v/>
      </c>
      <c r="B721" t="inlineStr">
        <is>
          <t>Grupo I</t>
        </is>
      </c>
      <c r="C721" t="inlineStr">
        <is>
          <t>NOR</t>
        </is>
      </c>
      <c r="D721" t="inlineStr">
        <is>
          <t>Norway</t>
        </is>
      </c>
      <c r="E721" t="inlineStr">
        <is>
          <t>NOR11</t>
        </is>
      </c>
      <c r="F721" t="inlineStr">
        <is>
          <t>Sander Berge - Norway</t>
        </is>
      </c>
      <c r="G721" t="inlineStr">
        <is>
          <t>Base</t>
        </is>
      </c>
      <c r="I721" t="n">
        <v>0</v>
      </c>
    </row>
    <row r="722">
      <c r="A722">
        <f>CHOOSE(MATCH(Config!$B$2,{"PT";"EN"},0),"Seleção","Team")</f>
        <v/>
      </c>
      <c r="B722" t="inlineStr">
        <is>
          <t>Grupo I</t>
        </is>
      </c>
      <c r="C722" t="inlineStr">
        <is>
          <t>NOR</t>
        </is>
      </c>
      <c r="D722" t="inlineStr">
        <is>
          <t>Norway</t>
        </is>
      </c>
      <c r="E722" t="inlineStr">
        <is>
          <t>NOR12</t>
        </is>
      </c>
      <c r="F722" t="inlineStr">
        <is>
          <t>Andreas Schjelderup - Norway</t>
        </is>
      </c>
      <c r="G722" t="inlineStr">
        <is>
          <t>Base</t>
        </is>
      </c>
      <c r="I722" t="n">
        <v>0</v>
      </c>
    </row>
    <row r="723">
      <c r="A723">
        <f>CHOOSE(MATCH(Config!$B$2,{"PT";"EN"},0),"Seleção","Team")</f>
        <v/>
      </c>
      <c r="B723" t="inlineStr">
        <is>
          <t>Grupo I</t>
        </is>
      </c>
      <c r="C723" t="inlineStr">
        <is>
          <t>NOR</t>
        </is>
      </c>
      <c r="D723" t="inlineStr">
        <is>
          <t>Norway</t>
        </is>
      </c>
      <c r="E723" t="inlineStr">
        <is>
          <t>NOR13</t>
        </is>
      </c>
      <c r="F723" t="inlineStr">
        <is>
          <t>Team Photo - Norway</t>
        </is>
      </c>
      <c r="G723" t="inlineStr">
        <is>
          <t>Base</t>
        </is>
      </c>
      <c r="I723" t="n">
        <v>0</v>
      </c>
    </row>
    <row r="724">
      <c r="A724">
        <f>CHOOSE(MATCH(Config!$B$2,{"PT";"EN"},0),"Seleção","Team")</f>
        <v/>
      </c>
      <c r="B724" t="inlineStr">
        <is>
          <t>Grupo I</t>
        </is>
      </c>
      <c r="C724" t="inlineStr">
        <is>
          <t>NOR</t>
        </is>
      </c>
      <c r="D724" t="inlineStr">
        <is>
          <t>Norway</t>
        </is>
      </c>
      <c r="E724" t="inlineStr">
        <is>
          <t>NOR14</t>
        </is>
      </c>
      <c r="F724" t="inlineStr">
        <is>
          <t>Patrick Berg - Norway</t>
        </is>
      </c>
      <c r="G724" t="inlineStr">
        <is>
          <t>Base</t>
        </is>
      </c>
      <c r="I724" t="n">
        <v>0</v>
      </c>
    </row>
    <row r="725">
      <c r="A725">
        <f>CHOOSE(MATCH(Config!$B$2,{"PT";"EN"},0),"Seleção","Team")</f>
        <v/>
      </c>
      <c r="B725" t="inlineStr">
        <is>
          <t>Grupo I</t>
        </is>
      </c>
      <c r="C725" t="inlineStr">
        <is>
          <t>NOR</t>
        </is>
      </c>
      <c r="D725" t="inlineStr">
        <is>
          <t>Norway</t>
        </is>
      </c>
      <c r="E725" t="inlineStr">
        <is>
          <t>NOR15</t>
        </is>
      </c>
      <c r="F725" t="inlineStr">
        <is>
          <t>Erling Haaland - Norway</t>
        </is>
      </c>
      <c r="G725" t="inlineStr">
        <is>
          <t>Base</t>
        </is>
      </c>
      <c r="I725" t="n">
        <v>0</v>
      </c>
    </row>
    <row r="726">
      <c r="A726">
        <f>CHOOSE(MATCH(Config!$B$2,{"PT";"EN"},0),"Seleção","Team")</f>
        <v/>
      </c>
      <c r="B726" t="inlineStr">
        <is>
          <t>Grupo I</t>
        </is>
      </c>
      <c r="C726" t="inlineStr">
        <is>
          <t>NOR</t>
        </is>
      </c>
      <c r="D726" t="inlineStr">
        <is>
          <t>Norway</t>
        </is>
      </c>
      <c r="E726" t="inlineStr">
        <is>
          <t>NOR16</t>
        </is>
      </c>
      <c r="F726" t="inlineStr">
        <is>
          <t>Alexander Sørloth - Norway</t>
        </is>
      </c>
      <c r="G726" t="inlineStr">
        <is>
          <t>Base</t>
        </is>
      </c>
      <c r="I726" t="n">
        <v>0</v>
      </c>
    </row>
    <row r="727">
      <c r="A727">
        <f>CHOOSE(MATCH(Config!$B$2,{"PT";"EN"},0),"Seleção","Team")</f>
        <v/>
      </c>
      <c r="B727" t="inlineStr">
        <is>
          <t>Grupo I</t>
        </is>
      </c>
      <c r="C727" t="inlineStr">
        <is>
          <t>NOR</t>
        </is>
      </c>
      <c r="D727" t="inlineStr">
        <is>
          <t>Norway</t>
        </is>
      </c>
      <c r="E727" t="inlineStr">
        <is>
          <t>NOR17</t>
        </is>
      </c>
      <c r="F727" t="inlineStr">
        <is>
          <t>Aron Dønnum - Norway</t>
        </is>
      </c>
      <c r="G727" t="inlineStr">
        <is>
          <t>Base</t>
        </is>
      </c>
      <c r="I727" t="n">
        <v>0</v>
      </c>
    </row>
    <row r="728">
      <c r="A728">
        <f>CHOOSE(MATCH(Config!$B$2,{"PT";"EN"},0),"Seleção","Team")</f>
        <v/>
      </c>
      <c r="B728" t="inlineStr">
        <is>
          <t>Grupo I</t>
        </is>
      </c>
      <c r="C728" t="inlineStr">
        <is>
          <t>NOR</t>
        </is>
      </c>
      <c r="D728" t="inlineStr">
        <is>
          <t>Norway</t>
        </is>
      </c>
      <c r="E728" t="inlineStr">
        <is>
          <t>NOR18</t>
        </is>
      </c>
      <c r="F728" t="inlineStr">
        <is>
          <t>Jorgen Strand Larsen - Norway</t>
        </is>
      </c>
      <c r="G728" t="inlineStr">
        <is>
          <t>Base</t>
        </is>
      </c>
      <c r="I728" t="n">
        <v>0</v>
      </c>
    </row>
    <row r="729">
      <c r="A729">
        <f>CHOOSE(MATCH(Config!$B$2,{"PT";"EN"},0),"Seleção","Team")</f>
        <v/>
      </c>
      <c r="B729" t="inlineStr">
        <is>
          <t>Grupo I</t>
        </is>
      </c>
      <c r="C729" t="inlineStr">
        <is>
          <t>NOR</t>
        </is>
      </c>
      <c r="D729" t="inlineStr">
        <is>
          <t>Norway</t>
        </is>
      </c>
      <c r="E729" t="inlineStr">
        <is>
          <t>NOR19</t>
        </is>
      </c>
      <c r="F729" t="inlineStr">
        <is>
          <t>Antonio Nusa - Norway</t>
        </is>
      </c>
      <c r="G729" t="inlineStr">
        <is>
          <t>Base</t>
        </is>
      </c>
      <c r="I729" t="n">
        <v>0</v>
      </c>
    </row>
    <row r="730">
      <c r="A730">
        <f>CHOOSE(MATCH(Config!$B$2,{"PT";"EN"},0),"Seleção","Team")</f>
        <v/>
      </c>
      <c r="B730" t="inlineStr">
        <is>
          <t>Grupo I</t>
        </is>
      </c>
      <c r="C730" t="inlineStr">
        <is>
          <t>NOR</t>
        </is>
      </c>
      <c r="D730" t="inlineStr">
        <is>
          <t>Norway</t>
        </is>
      </c>
      <c r="E730" t="inlineStr">
        <is>
          <t>NOR20</t>
        </is>
      </c>
      <c r="F730" t="inlineStr">
        <is>
          <t>Oscar Bobb - Norway</t>
        </is>
      </c>
      <c r="G730" t="inlineStr">
        <is>
          <t>Base</t>
        </is>
      </c>
      <c r="I730" t="n">
        <v>0</v>
      </c>
    </row>
    <row r="731">
      <c r="A731">
        <f>CHOOSE(MATCH(Config!$B$2,{"PT";"EN"},0),"Seleção","Team")</f>
        <v/>
      </c>
      <c r="B731" t="inlineStr">
        <is>
          <t>Grupo J</t>
        </is>
      </c>
      <c r="C731" t="inlineStr">
        <is>
          <t>ARG</t>
        </is>
      </c>
      <c r="D731" t="inlineStr">
        <is>
          <t>Argentina</t>
        </is>
      </c>
      <c r="E731" t="inlineStr">
        <is>
          <t>ARG1</t>
        </is>
      </c>
      <c r="F731" t="inlineStr">
        <is>
          <t>Team Logo - Argentina FOIL</t>
        </is>
      </c>
      <c r="G731" t="inlineStr">
        <is>
          <t>FOIL</t>
        </is>
      </c>
      <c r="I731" t="n">
        <v>0</v>
      </c>
    </row>
    <row r="732">
      <c r="A732">
        <f>CHOOSE(MATCH(Config!$B$2,{"PT";"EN"},0),"Seleção","Team")</f>
        <v/>
      </c>
      <c r="B732" t="inlineStr">
        <is>
          <t>Grupo J</t>
        </is>
      </c>
      <c r="C732" t="inlineStr">
        <is>
          <t>ARG</t>
        </is>
      </c>
      <c r="D732" t="inlineStr">
        <is>
          <t>Argentina</t>
        </is>
      </c>
      <c r="E732" t="inlineStr">
        <is>
          <t>ARG2</t>
        </is>
      </c>
      <c r="F732" t="inlineStr">
        <is>
          <t>Emiliano Martinez - Argentina</t>
        </is>
      </c>
      <c r="G732" t="inlineStr">
        <is>
          <t>Base</t>
        </is>
      </c>
      <c r="I732" t="n">
        <v>0</v>
      </c>
    </row>
    <row r="733">
      <c r="A733">
        <f>CHOOSE(MATCH(Config!$B$2,{"PT";"EN"},0),"Seleção","Team")</f>
        <v/>
      </c>
      <c r="B733" t="inlineStr">
        <is>
          <t>Grupo J</t>
        </is>
      </c>
      <c r="C733" t="inlineStr">
        <is>
          <t>ARG</t>
        </is>
      </c>
      <c r="D733" t="inlineStr">
        <is>
          <t>Argentina</t>
        </is>
      </c>
      <c r="E733" t="inlineStr">
        <is>
          <t>ARG3</t>
        </is>
      </c>
      <c r="F733" t="inlineStr">
        <is>
          <t>Nahuel Molina - Argentina</t>
        </is>
      </c>
      <c r="G733" t="inlineStr">
        <is>
          <t>Base</t>
        </is>
      </c>
      <c r="I733" t="n">
        <v>0</v>
      </c>
    </row>
    <row r="734">
      <c r="A734">
        <f>CHOOSE(MATCH(Config!$B$2,{"PT";"EN"},0),"Seleção","Team")</f>
        <v/>
      </c>
      <c r="B734" t="inlineStr">
        <is>
          <t>Grupo J</t>
        </is>
      </c>
      <c r="C734" t="inlineStr">
        <is>
          <t>ARG</t>
        </is>
      </c>
      <c r="D734" t="inlineStr">
        <is>
          <t>Argentina</t>
        </is>
      </c>
      <c r="E734" t="inlineStr">
        <is>
          <t>ARG4</t>
        </is>
      </c>
      <c r="F734" t="inlineStr">
        <is>
          <t>Cristian Romero - Argentina</t>
        </is>
      </c>
      <c r="G734" t="inlineStr">
        <is>
          <t>Base</t>
        </is>
      </c>
      <c r="I734" t="n">
        <v>0</v>
      </c>
    </row>
    <row r="735">
      <c r="A735">
        <f>CHOOSE(MATCH(Config!$B$2,{"PT";"EN"},0),"Seleção","Team")</f>
        <v/>
      </c>
      <c r="B735" t="inlineStr">
        <is>
          <t>Grupo J</t>
        </is>
      </c>
      <c r="C735" t="inlineStr">
        <is>
          <t>ARG</t>
        </is>
      </c>
      <c r="D735" t="inlineStr">
        <is>
          <t>Argentina</t>
        </is>
      </c>
      <c r="E735" t="inlineStr">
        <is>
          <t>ARG5</t>
        </is>
      </c>
      <c r="F735" t="inlineStr">
        <is>
          <t>Nicolas Otamendi - Argentina</t>
        </is>
      </c>
      <c r="G735" t="inlineStr">
        <is>
          <t>Base</t>
        </is>
      </c>
      <c r="I735" t="n">
        <v>0</v>
      </c>
    </row>
    <row r="736">
      <c r="A736">
        <f>CHOOSE(MATCH(Config!$B$2,{"PT";"EN"},0),"Seleção","Team")</f>
        <v/>
      </c>
      <c r="B736" t="inlineStr">
        <is>
          <t>Grupo J</t>
        </is>
      </c>
      <c r="C736" t="inlineStr">
        <is>
          <t>ARG</t>
        </is>
      </c>
      <c r="D736" t="inlineStr">
        <is>
          <t>Argentina</t>
        </is>
      </c>
      <c r="E736" t="inlineStr">
        <is>
          <t>ARG6</t>
        </is>
      </c>
      <c r="F736" t="inlineStr">
        <is>
          <t>Nicolas Tagliafico - Argentina</t>
        </is>
      </c>
      <c r="G736" t="inlineStr">
        <is>
          <t>Base</t>
        </is>
      </c>
      <c r="I736" t="n">
        <v>0</v>
      </c>
    </row>
    <row r="737">
      <c r="A737">
        <f>CHOOSE(MATCH(Config!$B$2,{"PT";"EN"},0),"Seleção","Team")</f>
        <v/>
      </c>
      <c r="B737" t="inlineStr">
        <is>
          <t>Grupo J</t>
        </is>
      </c>
      <c r="C737" t="inlineStr">
        <is>
          <t>ARG</t>
        </is>
      </c>
      <c r="D737" t="inlineStr">
        <is>
          <t>Argentina</t>
        </is>
      </c>
      <c r="E737" t="inlineStr">
        <is>
          <t>ARG7</t>
        </is>
      </c>
      <c r="F737" t="inlineStr">
        <is>
          <t>Leonardo Balerdi - Argentina</t>
        </is>
      </c>
      <c r="G737" t="inlineStr">
        <is>
          <t>Base</t>
        </is>
      </c>
      <c r="I737" t="n">
        <v>0</v>
      </c>
    </row>
    <row r="738">
      <c r="A738">
        <f>CHOOSE(MATCH(Config!$B$2,{"PT";"EN"},0),"Seleção","Team")</f>
        <v/>
      </c>
      <c r="B738" t="inlineStr">
        <is>
          <t>Grupo J</t>
        </is>
      </c>
      <c r="C738" t="inlineStr">
        <is>
          <t>ARG</t>
        </is>
      </c>
      <c r="D738" t="inlineStr">
        <is>
          <t>Argentina</t>
        </is>
      </c>
      <c r="E738" t="inlineStr">
        <is>
          <t>ARG8</t>
        </is>
      </c>
      <c r="F738" t="inlineStr">
        <is>
          <t>Enzo Fernandez - Argentina</t>
        </is>
      </c>
      <c r="G738" t="inlineStr">
        <is>
          <t>Base</t>
        </is>
      </c>
      <c r="I738" t="n">
        <v>0</v>
      </c>
    </row>
    <row r="739">
      <c r="A739">
        <f>CHOOSE(MATCH(Config!$B$2,{"PT";"EN"},0),"Seleção","Team")</f>
        <v/>
      </c>
      <c r="B739" t="inlineStr">
        <is>
          <t>Grupo J</t>
        </is>
      </c>
      <c r="C739" t="inlineStr">
        <is>
          <t>ARG</t>
        </is>
      </c>
      <c r="D739" t="inlineStr">
        <is>
          <t>Argentina</t>
        </is>
      </c>
      <c r="E739" t="inlineStr">
        <is>
          <t>ARG9</t>
        </is>
      </c>
      <c r="F739" t="inlineStr">
        <is>
          <t>Alexis Mac Allister - Argentina</t>
        </is>
      </c>
      <c r="G739" t="inlineStr">
        <is>
          <t>Base</t>
        </is>
      </c>
      <c r="I739" t="n">
        <v>0</v>
      </c>
    </row>
    <row r="740">
      <c r="A740">
        <f>CHOOSE(MATCH(Config!$B$2,{"PT";"EN"},0),"Seleção","Team")</f>
        <v/>
      </c>
      <c r="B740" t="inlineStr">
        <is>
          <t>Grupo J</t>
        </is>
      </c>
      <c r="C740" t="inlineStr">
        <is>
          <t>ARG</t>
        </is>
      </c>
      <c r="D740" t="inlineStr">
        <is>
          <t>Argentina</t>
        </is>
      </c>
      <c r="E740" t="inlineStr">
        <is>
          <t>ARG10</t>
        </is>
      </c>
      <c r="F740" t="inlineStr">
        <is>
          <t>Rodrigo De Paul - Argentina</t>
        </is>
      </c>
      <c r="G740" t="inlineStr">
        <is>
          <t>Base</t>
        </is>
      </c>
      <c r="I740" t="n">
        <v>0</v>
      </c>
    </row>
    <row r="741">
      <c r="A741">
        <f>CHOOSE(MATCH(Config!$B$2,{"PT";"EN"},0),"Seleção","Team")</f>
        <v/>
      </c>
      <c r="B741" t="inlineStr">
        <is>
          <t>Grupo J</t>
        </is>
      </c>
      <c r="C741" t="inlineStr">
        <is>
          <t>ARG</t>
        </is>
      </c>
      <c r="D741" t="inlineStr">
        <is>
          <t>Argentina</t>
        </is>
      </c>
      <c r="E741" t="inlineStr">
        <is>
          <t>ARG11</t>
        </is>
      </c>
      <c r="F741" t="inlineStr">
        <is>
          <t>Exequiel Palacios - Argentina</t>
        </is>
      </c>
      <c r="G741" t="inlineStr">
        <is>
          <t>Base</t>
        </is>
      </c>
      <c r="I741" t="n">
        <v>0</v>
      </c>
    </row>
    <row r="742">
      <c r="A742">
        <f>CHOOSE(MATCH(Config!$B$2,{"PT";"EN"},0),"Seleção","Team")</f>
        <v/>
      </c>
      <c r="B742" t="inlineStr">
        <is>
          <t>Grupo J</t>
        </is>
      </c>
      <c r="C742" t="inlineStr">
        <is>
          <t>ARG</t>
        </is>
      </c>
      <c r="D742" t="inlineStr">
        <is>
          <t>Argentina</t>
        </is>
      </c>
      <c r="E742" t="inlineStr">
        <is>
          <t>ARG12</t>
        </is>
      </c>
      <c r="F742" t="inlineStr">
        <is>
          <t>Leandro Paredes - Argentina</t>
        </is>
      </c>
      <c r="G742" t="inlineStr">
        <is>
          <t>Base</t>
        </is>
      </c>
      <c r="I742" t="n">
        <v>0</v>
      </c>
    </row>
    <row r="743">
      <c r="A743">
        <f>CHOOSE(MATCH(Config!$B$2,{"PT";"EN"},0),"Seleção","Team")</f>
        <v/>
      </c>
      <c r="B743" t="inlineStr">
        <is>
          <t>Grupo J</t>
        </is>
      </c>
      <c r="C743" t="inlineStr">
        <is>
          <t>ARG</t>
        </is>
      </c>
      <c r="D743" t="inlineStr">
        <is>
          <t>Argentina</t>
        </is>
      </c>
      <c r="E743" t="inlineStr">
        <is>
          <t>ARG13</t>
        </is>
      </c>
      <c r="F743" t="inlineStr">
        <is>
          <t>Team Photo - Argentina</t>
        </is>
      </c>
      <c r="G743" t="inlineStr">
        <is>
          <t>Base</t>
        </is>
      </c>
      <c r="I743" t="n">
        <v>0</v>
      </c>
    </row>
    <row r="744">
      <c r="A744">
        <f>CHOOSE(MATCH(Config!$B$2,{"PT";"EN"},0),"Seleção","Team")</f>
        <v/>
      </c>
      <c r="B744" t="inlineStr">
        <is>
          <t>Grupo J</t>
        </is>
      </c>
      <c r="C744" t="inlineStr">
        <is>
          <t>ARG</t>
        </is>
      </c>
      <c r="D744" t="inlineStr">
        <is>
          <t>Argentina</t>
        </is>
      </c>
      <c r="E744" t="inlineStr">
        <is>
          <t>ARG14</t>
        </is>
      </c>
      <c r="F744" t="inlineStr">
        <is>
          <t>Nico Paz - Argentina</t>
        </is>
      </c>
      <c r="G744" t="inlineStr">
        <is>
          <t>Base</t>
        </is>
      </c>
      <c r="I744" t="n">
        <v>0</v>
      </c>
    </row>
    <row r="745">
      <c r="A745">
        <f>CHOOSE(MATCH(Config!$B$2,{"PT";"EN"},0),"Seleção","Team")</f>
        <v/>
      </c>
      <c r="B745" t="inlineStr">
        <is>
          <t>Grupo J</t>
        </is>
      </c>
      <c r="C745" t="inlineStr">
        <is>
          <t>ARG</t>
        </is>
      </c>
      <c r="D745" t="inlineStr">
        <is>
          <t>Argentina</t>
        </is>
      </c>
      <c r="E745" t="inlineStr">
        <is>
          <t>ARG15</t>
        </is>
      </c>
      <c r="F745" t="inlineStr">
        <is>
          <t>Franco Mastantuono - Argentina</t>
        </is>
      </c>
      <c r="G745" t="inlineStr">
        <is>
          <t>Base</t>
        </is>
      </c>
      <c r="I745" t="n">
        <v>0</v>
      </c>
    </row>
    <row r="746">
      <c r="A746">
        <f>CHOOSE(MATCH(Config!$B$2,{"PT";"EN"},0),"Seleção","Team")</f>
        <v/>
      </c>
      <c r="B746" t="inlineStr">
        <is>
          <t>Grupo J</t>
        </is>
      </c>
      <c r="C746" t="inlineStr">
        <is>
          <t>ARG</t>
        </is>
      </c>
      <c r="D746" t="inlineStr">
        <is>
          <t>Argentina</t>
        </is>
      </c>
      <c r="E746" t="inlineStr">
        <is>
          <t>ARG16</t>
        </is>
      </c>
      <c r="F746" t="inlineStr">
        <is>
          <t>Nico Gonzalez - Argentina</t>
        </is>
      </c>
      <c r="G746" t="inlineStr">
        <is>
          <t>Base</t>
        </is>
      </c>
      <c r="I746" t="n">
        <v>0</v>
      </c>
    </row>
    <row r="747">
      <c r="A747">
        <f>CHOOSE(MATCH(Config!$B$2,{"PT";"EN"},0),"Seleção","Team")</f>
        <v/>
      </c>
      <c r="B747" t="inlineStr">
        <is>
          <t>Grupo J</t>
        </is>
      </c>
      <c r="C747" t="inlineStr">
        <is>
          <t>ARG</t>
        </is>
      </c>
      <c r="D747" t="inlineStr">
        <is>
          <t>Argentina</t>
        </is>
      </c>
      <c r="E747" t="inlineStr">
        <is>
          <t>ARG17</t>
        </is>
      </c>
      <c r="F747" t="inlineStr">
        <is>
          <t>Lionel Messi - Argentina</t>
        </is>
      </c>
      <c r="G747" t="inlineStr">
        <is>
          <t>Base</t>
        </is>
      </c>
      <c r="I747" t="n">
        <v>0</v>
      </c>
    </row>
    <row r="748">
      <c r="A748">
        <f>CHOOSE(MATCH(Config!$B$2,{"PT";"EN"},0),"Seleção","Team")</f>
        <v/>
      </c>
      <c r="B748" t="inlineStr">
        <is>
          <t>Grupo J</t>
        </is>
      </c>
      <c r="C748" t="inlineStr">
        <is>
          <t>ARG</t>
        </is>
      </c>
      <c r="D748" t="inlineStr">
        <is>
          <t>Argentina</t>
        </is>
      </c>
      <c r="E748" t="inlineStr">
        <is>
          <t>ARG18</t>
        </is>
      </c>
      <c r="F748" t="inlineStr">
        <is>
          <t>Lautaro Martinez - Argentina</t>
        </is>
      </c>
      <c r="G748" t="inlineStr">
        <is>
          <t>Base</t>
        </is>
      </c>
      <c r="I748" t="n">
        <v>0</v>
      </c>
    </row>
    <row r="749">
      <c r="A749">
        <f>CHOOSE(MATCH(Config!$B$2,{"PT";"EN"},0),"Seleção","Team")</f>
        <v/>
      </c>
      <c r="B749" t="inlineStr">
        <is>
          <t>Grupo J</t>
        </is>
      </c>
      <c r="C749" t="inlineStr">
        <is>
          <t>ARG</t>
        </is>
      </c>
      <c r="D749" t="inlineStr">
        <is>
          <t>Argentina</t>
        </is>
      </c>
      <c r="E749" t="inlineStr">
        <is>
          <t>ARG19</t>
        </is>
      </c>
      <c r="F749" t="inlineStr">
        <is>
          <t>Julian Alvarez - Argentina</t>
        </is>
      </c>
      <c r="G749" t="inlineStr">
        <is>
          <t>Base</t>
        </is>
      </c>
      <c r="I749" t="n">
        <v>0</v>
      </c>
    </row>
    <row r="750">
      <c r="A750">
        <f>CHOOSE(MATCH(Config!$B$2,{"PT";"EN"},0),"Seleção","Team")</f>
        <v/>
      </c>
      <c r="B750" t="inlineStr">
        <is>
          <t>Grupo J</t>
        </is>
      </c>
      <c r="C750" t="inlineStr">
        <is>
          <t>ARG</t>
        </is>
      </c>
      <c r="D750" t="inlineStr">
        <is>
          <t>Argentina</t>
        </is>
      </c>
      <c r="E750" t="inlineStr">
        <is>
          <t>ARG20</t>
        </is>
      </c>
      <c r="F750" t="inlineStr">
        <is>
          <t>Giuliano Simeone - Argentina</t>
        </is>
      </c>
      <c r="G750" t="inlineStr">
        <is>
          <t>Base</t>
        </is>
      </c>
      <c r="I750" t="n">
        <v>0</v>
      </c>
    </row>
    <row r="751">
      <c r="A751">
        <f>CHOOSE(MATCH(Config!$B$2,{"PT";"EN"},0),"Seleção","Team")</f>
        <v/>
      </c>
      <c r="B751" t="inlineStr">
        <is>
          <t>Grupo J</t>
        </is>
      </c>
      <c r="C751" t="inlineStr">
        <is>
          <t>ALG</t>
        </is>
      </c>
      <c r="D751" t="inlineStr">
        <is>
          <t>Algeria</t>
        </is>
      </c>
      <c r="E751" t="inlineStr">
        <is>
          <t>ALG1</t>
        </is>
      </c>
      <c r="F751" t="inlineStr">
        <is>
          <t>Team Logo - Algeria FOIL</t>
        </is>
      </c>
      <c r="G751" t="inlineStr">
        <is>
          <t>FOIL</t>
        </is>
      </c>
      <c r="I751" t="n">
        <v>0</v>
      </c>
    </row>
    <row r="752">
      <c r="A752">
        <f>CHOOSE(MATCH(Config!$B$2,{"PT";"EN"},0),"Seleção","Team")</f>
        <v/>
      </c>
      <c r="B752" t="inlineStr">
        <is>
          <t>Grupo J</t>
        </is>
      </c>
      <c r="C752" t="inlineStr">
        <is>
          <t>ALG</t>
        </is>
      </c>
      <c r="D752" t="inlineStr">
        <is>
          <t>Algeria</t>
        </is>
      </c>
      <c r="E752" t="inlineStr">
        <is>
          <t>ALG2</t>
        </is>
      </c>
      <c r="F752" t="inlineStr">
        <is>
          <t>Alexis Guendouz - Algeria</t>
        </is>
      </c>
      <c r="G752" t="inlineStr">
        <is>
          <t>Base</t>
        </is>
      </c>
      <c r="I752" t="n">
        <v>0</v>
      </c>
    </row>
    <row r="753">
      <c r="A753">
        <f>CHOOSE(MATCH(Config!$B$2,{"PT";"EN"},0),"Seleção","Team")</f>
        <v/>
      </c>
      <c r="B753" t="inlineStr">
        <is>
          <t>Grupo J</t>
        </is>
      </c>
      <c r="C753" t="inlineStr">
        <is>
          <t>ALG</t>
        </is>
      </c>
      <c r="D753" t="inlineStr">
        <is>
          <t>Algeria</t>
        </is>
      </c>
      <c r="E753" t="inlineStr">
        <is>
          <t>ALG3</t>
        </is>
      </c>
      <c r="F753" t="inlineStr">
        <is>
          <t>Ramy Bensebaini - Algeria</t>
        </is>
      </c>
      <c r="G753" t="inlineStr">
        <is>
          <t>Base</t>
        </is>
      </c>
      <c r="I753" t="n">
        <v>0</v>
      </c>
    </row>
    <row r="754">
      <c r="A754">
        <f>CHOOSE(MATCH(Config!$B$2,{"PT";"EN"},0),"Seleção","Team")</f>
        <v/>
      </c>
      <c r="B754" t="inlineStr">
        <is>
          <t>Grupo J</t>
        </is>
      </c>
      <c r="C754" t="inlineStr">
        <is>
          <t>ALG</t>
        </is>
      </c>
      <c r="D754" t="inlineStr">
        <is>
          <t>Algeria</t>
        </is>
      </c>
      <c r="E754" t="inlineStr">
        <is>
          <t>ALG4</t>
        </is>
      </c>
      <c r="F754" t="inlineStr">
        <is>
          <t>Youcef Atal - Algeria</t>
        </is>
      </c>
      <c r="G754" t="inlineStr">
        <is>
          <t>Base</t>
        </is>
      </c>
      <c r="I754" t="n">
        <v>0</v>
      </c>
    </row>
    <row r="755">
      <c r="A755">
        <f>CHOOSE(MATCH(Config!$B$2,{"PT";"EN"},0),"Seleção","Team")</f>
        <v/>
      </c>
      <c r="B755" t="inlineStr">
        <is>
          <t>Grupo J</t>
        </is>
      </c>
      <c r="C755" t="inlineStr">
        <is>
          <t>ALG</t>
        </is>
      </c>
      <c r="D755" t="inlineStr">
        <is>
          <t>Algeria</t>
        </is>
      </c>
      <c r="E755" t="inlineStr">
        <is>
          <t>ALG5</t>
        </is>
      </c>
      <c r="F755" t="inlineStr">
        <is>
          <t>Rayan Aït-Nouri - Algeria</t>
        </is>
      </c>
      <c r="G755" t="inlineStr">
        <is>
          <t>Base</t>
        </is>
      </c>
      <c r="I755" t="n">
        <v>0</v>
      </c>
    </row>
    <row r="756">
      <c r="A756">
        <f>CHOOSE(MATCH(Config!$B$2,{"PT";"EN"},0),"Seleção","Team")</f>
        <v/>
      </c>
      <c r="B756" t="inlineStr">
        <is>
          <t>Grupo J</t>
        </is>
      </c>
      <c r="C756" t="inlineStr">
        <is>
          <t>ALG</t>
        </is>
      </c>
      <c r="D756" t="inlineStr">
        <is>
          <t>Algeria</t>
        </is>
      </c>
      <c r="E756" t="inlineStr">
        <is>
          <t>ALG6</t>
        </is>
      </c>
      <c r="F756" t="inlineStr">
        <is>
          <t>Mohamed Amine Tougai - Algeria</t>
        </is>
      </c>
      <c r="G756" t="inlineStr">
        <is>
          <t>Base</t>
        </is>
      </c>
      <c r="I756" t="n">
        <v>0</v>
      </c>
    </row>
    <row r="757">
      <c r="A757">
        <f>CHOOSE(MATCH(Config!$B$2,{"PT";"EN"},0),"Seleção","Team")</f>
        <v/>
      </c>
      <c r="B757" t="inlineStr">
        <is>
          <t>Grupo J</t>
        </is>
      </c>
      <c r="C757" t="inlineStr">
        <is>
          <t>ALG</t>
        </is>
      </c>
      <c r="D757" t="inlineStr">
        <is>
          <t>Algeria</t>
        </is>
      </c>
      <c r="E757" t="inlineStr">
        <is>
          <t>ALG7</t>
        </is>
      </c>
      <c r="F757" t="inlineStr">
        <is>
          <t>Aïssa Mandi - Algeria</t>
        </is>
      </c>
      <c r="G757" t="inlineStr">
        <is>
          <t>Base</t>
        </is>
      </c>
      <c r="I757" t="n">
        <v>0</v>
      </c>
    </row>
    <row r="758">
      <c r="A758">
        <f>CHOOSE(MATCH(Config!$B$2,{"PT";"EN"},0),"Seleção","Team")</f>
        <v/>
      </c>
      <c r="B758" t="inlineStr">
        <is>
          <t>Grupo J</t>
        </is>
      </c>
      <c r="C758" t="inlineStr">
        <is>
          <t>ALG</t>
        </is>
      </c>
      <c r="D758" t="inlineStr">
        <is>
          <t>Algeria</t>
        </is>
      </c>
      <c r="E758" t="inlineStr">
        <is>
          <t>ALG8</t>
        </is>
      </c>
      <c r="F758" t="inlineStr">
        <is>
          <t>Ismael Bennacer - Algeria</t>
        </is>
      </c>
      <c r="G758" t="inlineStr">
        <is>
          <t>Base</t>
        </is>
      </c>
      <c r="I758" t="n">
        <v>0</v>
      </c>
    </row>
    <row r="759">
      <c r="A759">
        <f>CHOOSE(MATCH(Config!$B$2,{"PT";"EN"},0),"Seleção","Team")</f>
        <v/>
      </c>
      <c r="B759" t="inlineStr">
        <is>
          <t>Grupo J</t>
        </is>
      </c>
      <c r="C759" t="inlineStr">
        <is>
          <t>ALG</t>
        </is>
      </c>
      <c r="D759" t="inlineStr">
        <is>
          <t>Algeria</t>
        </is>
      </c>
      <c r="E759" t="inlineStr">
        <is>
          <t>ALG9</t>
        </is>
      </c>
      <c r="F759" t="inlineStr">
        <is>
          <t>Houssem Aquar - Algeria</t>
        </is>
      </c>
      <c r="G759" t="inlineStr">
        <is>
          <t>Base</t>
        </is>
      </c>
      <c r="I759" t="n">
        <v>0</v>
      </c>
    </row>
    <row r="760">
      <c r="A760">
        <f>CHOOSE(MATCH(Config!$B$2,{"PT";"EN"},0),"Seleção","Team")</f>
        <v/>
      </c>
      <c r="B760" t="inlineStr">
        <is>
          <t>Grupo J</t>
        </is>
      </c>
      <c r="C760" t="inlineStr">
        <is>
          <t>ALG</t>
        </is>
      </c>
      <c r="D760" t="inlineStr">
        <is>
          <t>Algeria</t>
        </is>
      </c>
      <c r="E760" t="inlineStr">
        <is>
          <t>ALG10</t>
        </is>
      </c>
      <c r="F760" t="inlineStr">
        <is>
          <t>Hicham Boudaoui - Algeria</t>
        </is>
      </c>
      <c r="G760" t="inlineStr">
        <is>
          <t>Base</t>
        </is>
      </c>
      <c r="I760" t="n">
        <v>0</v>
      </c>
    </row>
    <row r="761">
      <c r="A761">
        <f>CHOOSE(MATCH(Config!$B$2,{"PT";"EN"},0),"Seleção","Team")</f>
        <v/>
      </c>
      <c r="B761" t="inlineStr">
        <is>
          <t>Grupo J</t>
        </is>
      </c>
      <c r="C761" t="inlineStr">
        <is>
          <t>ALG</t>
        </is>
      </c>
      <c r="D761" t="inlineStr">
        <is>
          <t>Algeria</t>
        </is>
      </c>
      <c r="E761" t="inlineStr">
        <is>
          <t>ALG11</t>
        </is>
      </c>
      <c r="F761" t="inlineStr">
        <is>
          <t>Ramiz Zerrouki - Algeria</t>
        </is>
      </c>
      <c r="G761" t="inlineStr">
        <is>
          <t>Base</t>
        </is>
      </c>
      <c r="I761" t="n">
        <v>0</v>
      </c>
    </row>
    <row r="762">
      <c r="A762">
        <f>CHOOSE(MATCH(Config!$B$2,{"PT";"EN"},0),"Seleção","Team")</f>
        <v/>
      </c>
      <c r="B762" t="inlineStr">
        <is>
          <t>Grupo J</t>
        </is>
      </c>
      <c r="C762" t="inlineStr">
        <is>
          <t>ALG</t>
        </is>
      </c>
      <c r="D762" t="inlineStr">
        <is>
          <t>Algeria</t>
        </is>
      </c>
      <c r="E762" t="inlineStr">
        <is>
          <t>ALG12</t>
        </is>
      </c>
      <c r="F762" t="inlineStr">
        <is>
          <t>Nabil Bentalab - Algeria</t>
        </is>
      </c>
      <c r="G762" t="inlineStr">
        <is>
          <t>Base</t>
        </is>
      </c>
      <c r="I762" t="n">
        <v>0</v>
      </c>
    </row>
    <row r="763">
      <c r="A763">
        <f>CHOOSE(MATCH(Config!$B$2,{"PT";"EN"},0),"Seleção","Team")</f>
        <v/>
      </c>
      <c r="B763" t="inlineStr">
        <is>
          <t>Grupo J</t>
        </is>
      </c>
      <c r="C763" t="inlineStr">
        <is>
          <t>ALG</t>
        </is>
      </c>
      <c r="D763" t="inlineStr">
        <is>
          <t>Algeria</t>
        </is>
      </c>
      <c r="E763" t="inlineStr">
        <is>
          <t>ALG13</t>
        </is>
      </c>
      <c r="F763" t="inlineStr">
        <is>
          <t>Team Photo - Algeria</t>
        </is>
      </c>
      <c r="G763" t="inlineStr">
        <is>
          <t>Base</t>
        </is>
      </c>
      <c r="I763" t="n">
        <v>0</v>
      </c>
    </row>
    <row r="764">
      <c r="A764">
        <f>CHOOSE(MATCH(Config!$B$2,{"PT";"EN"},0),"Seleção","Team")</f>
        <v/>
      </c>
      <c r="B764" t="inlineStr">
        <is>
          <t>Grupo J</t>
        </is>
      </c>
      <c r="C764" t="inlineStr">
        <is>
          <t>ALG</t>
        </is>
      </c>
      <c r="D764" t="inlineStr">
        <is>
          <t>Algeria</t>
        </is>
      </c>
      <c r="E764" t="inlineStr">
        <is>
          <t>ALG14</t>
        </is>
      </c>
      <c r="F764" t="inlineStr">
        <is>
          <t>Farés Chaibi - Algeria</t>
        </is>
      </c>
      <c r="G764" t="inlineStr">
        <is>
          <t>Base</t>
        </is>
      </c>
      <c r="I764" t="n">
        <v>0</v>
      </c>
    </row>
    <row r="765">
      <c r="A765">
        <f>CHOOSE(MATCH(Config!$B$2,{"PT";"EN"},0),"Seleção","Team")</f>
        <v/>
      </c>
      <c r="B765" t="inlineStr">
        <is>
          <t>Grupo J</t>
        </is>
      </c>
      <c r="C765" t="inlineStr">
        <is>
          <t>ALG</t>
        </is>
      </c>
      <c r="D765" t="inlineStr">
        <is>
          <t>Algeria</t>
        </is>
      </c>
      <c r="E765" t="inlineStr">
        <is>
          <t>ALG15</t>
        </is>
      </c>
      <c r="F765" t="inlineStr">
        <is>
          <t>Riyad Mahrez - Algeria</t>
        </is>
      </c>
      <c r="G765" t="inlineStr">
        <is>
          <t>Base</t>
        </is>
      </c>
      <c r="I765" t="n">
        <v>0</v>
      </c>
    </row>
    <row r="766">
      <c r="A766">
        <f>CHOOSE(MATCH(Config!$B$2,{"PT";"EN"},0),"Seleção","Team")</f>
        <v/>
      </c>
      <c r="B766" t="inlineStr">
        <is>
          <t>Grupo J</t>
        </is>
      </c>
      <c r="C766" t="inlineStr">
        <is>
          <t>ALG</t>
        </is>
      </c>
      <c r="D766" t="inlineStr">
        <is>
          <t>Algeria</t>
        </is>
      </c>
      <c r="E766" t="inlineStr">
        <is>
          <t>ALG16</t>
        </is>
      </c>
      <c r="F766" t="inlineStr">
        <is>
          <t>Said Benrahma - Algeria</t>
        </is>
      </c>
      <c r="G766" t="inlineStr">
        <is>
          <t>Base</t>
        </is>
      </c>
      <c r="I766" t="n">
        <v>0</v>
      </c>
    </row>
    <row r="767">
      <c r="A767">
        <f>CHOOSE(MATCH(Config!$B$2,{"PT";"EN"},0),"Seleção","Team")</f>
        <v/>
      </c>
      <c r="B767" t="inlineStr">
        <is>
          <t>Grupo J</t>
        </is>
      </c>
      <c r="C767" t="inlineStr">
        <is>
          <t>ALG</t>
        </is>
      </c>
      <c r="D767" t="inlineStr">
        <is>
          <t>Algeria</t>
        </is>
      </c>
      <c r="E767" t="inlineStr">
        <is>
          <t>ALG17</t>
        </is>
      </c>
      <c r="F767" t="inlineStr">
        <is>
          <t>Anis Hadj Moussa - Algeria</t>
        </is>
      </c>
      <c r="G767" t="inlineStr">
        <is>
          <t>Base</t>
        </is>
      </c>
      <c r="I767" t="n">
        <v>0</v>
      </c>
    </row>
    <row r="768">
      <c r="A768">
        <f>CHOOSE(MATCH(Config!$B$2,{"PT";"EN"},0),"Seleção","Team")</f>
        <v/>
      </c>
      <c r="B768" t="inlineStr">
        <is>
          <t>Grupo J</t>
        </is>
      </c>
      <c r="C768" t="inlineStr">
        <is>
          <t>ALG</t>
        </is>
      </c>
      <c r="D768" t="inlineStr">
        <is>
          <t>Algeria</t>
        </is>
      </c>
      <c r="E768" t="inlineStr">
        <is>
          <t>ALG18</t>
        </is>
      </c>
      <c r="F768" t="inlineStr">
        <is>
          <t>Amine Gouiri - Algeria</t>
        </is>
      </c>
      <c r="G768" t="inlineStr">
        <is>
          <t>Base</t>
        </is>
      </c>
      <c r="I768" t="n">
        <v>0</v>
      </c>
    </row>
    <row r="769">
      <c r="A769">
        <f>CHOOSE(MATCH(Config!$B$2,{"PT";"EN"},0),"Seleção","Team")</f>
        <v/>
      </c>
      <c r="B769" t="inlineStr">
        <is>
          <t>Grupo J</t>
        </is>
      </c>
      <c r="C769" t="inlineStr">
        <is>
          <t>ALG</t>
        </is>
      </c>
      <c r="D769" t="inlineStr">
        <is>
          <t>Algeria</t>
        </is>
      </c>
      <c r="E769" t="inlineStr">
        <is>
          <t>ALG19</t>
        </is>
      </c>
      <c r="F769" t="inlineStr">
        <is>
          <t>Baghdad Bounedjah - Algeria</t>
        </is>
      </c>
      <c r="G769" t="inlineStr">
        <is>
          <t>Base</t>
        </is>
      </c>
      <c r="I769" t="n">
        <v>0</v>
      </c>
    </row>
    <row r="770">
      <c r="A770">
        <f>CHOOSE(MATCH(Config!$B$2,{"PT";"EN"},0),"Seleção","Team")</f>
        <v/>
      </c>
      <c r="B770" t="inlineStr">
        <is>
          <t>Grupo J</t>
        </is>
      </c>
      <c r="C770" t="inlineStr">
        <is>
          <t>ALG</t>
        </is>
      </c>
      <c r="D770" t="inlineStr">
        <is>
          <t>Algeria</t>
        </is>
      </c>
      <c r="E770" t="inlineStr">
        <is>
          <t>ALG20</t>
        </is>
      </c>
      <c r="F770" t="inlineStr">
        <is>
          <t>Mohammed Amoura - Algeria</t>
        </is>
      </c>
      <c r="G770" t="inlineStr">
        <is>
          <t>Base</t>
        </is>
      </c>
      <c r="I770" t="n">
        <v>0</v>
      </c>
    </row>
    <row r="771">
      <c r="A771">
        <f>CHOOSE(MATCH(Config!$B$2,{"PT";"EN"},0),"Seleção","Team")</f>
        <v/>
      </c>
      <c r="B771" t="inlineStr">
        <is>
          <t>Grupo J</t>
        </is>
      </c>
      <c r="C771" t="inlineStr">
        <is>
          <t>AUT</t>
        </is>
      </c>
      <c r="D771" t="inlineStr">
        <is>
          <t>Austria</t>
        </is>
      </c>
      <c r="E771" t="inlineStr">
        <is>
          <t>AUT1</t>
        </is>
      </c>
      <c r="F771" t="inlineStr">
        <is>
          <t>Team Logo - Austria FOIL</t>
        </is>
      </c>
      <c r="G771" t="inlineStr">
        <is>
          <t>FOIL</t>
        </is>
      </c>
      <c r="I771" t="n">
        <v>0</v>
      </c>
    </row>
    <row r="772">
      <c r="A772">
        <f>CHOOSE(MATCH(Config!$B$2,{"PT";"EN"},0),"Seleção","Team")</f>
        <v/>
      </c>
      <c r="B772" t="inlineStr">
        <is>
          <t>Grupo J</t>
        </is>
      </c>
      <c r="C772" t="inlineStr">
        <is>
          <t>AUT</t>
        </is>
      </c>
      <c r="D772" t="inlineStr">
        <is>
          <t>Austria</t>
        </is>
      </c>
      <c r="E772" t="inlineStr">
        <is>
          <t>AUT2</t>
        </is>
      </c>
      <c r="F772" t="inlineStr">
        <is>
          <t>Alexander Schlager - Austria</t>
        </is>
      </c>
      <c r="G772" t="inlineStr">
        <is>
          <t>Base</t>
        </is>
      </c>
      <c r="I772" t="n">
        <v>0</v>
      </c>
    </row>
    <row r="773">
      <c r="A773">
        <f>CHOOSE(MATCH(Config!$B$2,{"PT";"EN"},0),"Seleção","Team")</f>
        <v/>
      </c>
      <c r="B773" t="inlineStr">
        <is>
          <t>Grupo J</t>
        </is>
      </c>
      <c r="C773" t="inlineStr">
        <is>
          <t>AUT</t>
        </is>
      </c>
      <c r="D773" t="inlineStr">
        <is>
          <t>Austria</t>
        </is>
      </c>
      <c r="E773" t="inlineStr">
        <is>
          <t>AUT3</t>
        </is>
      </c>
      <c r="F773" t="inlineStr">
        <is>
          <t>Patrick Pentz - Austria</t>
        </is>
      </c>
      <c r="G773" t="inlineStr">
        <is>
          <t>Base</t>
        </is>
      </c>
      <c r="I773" t="n">
        <v>0</v>
      </c>
    </row>
    <row r="774">
      <c r="A774">
        <f>CHOOSE(MATCH(Config!$B$2,{"PT";"EN"},0),"Seleção","Team")</f>
        <v/>
      </c>
      <c r="B774" t="inlineStr">
        <is>
          <t>Grupo J</t>
        </is>
      </c>
      <c r="C774" t="inlineStr">
        <is>
          <t>AUT</t>
        </is>
      </c>
      <c r="D774" t="inlineStr">
        <is>
          <t>Austria</t>
        </is>
      </c>
      <c r="E774" t="inlineStr">
        <is>
          <t>AUT4</t>
        </is>
      </c>
      <c r="F774" t="inlineStr">
        <is>
          <t>David Alaba - Austria</t>
        </is>
      </c>
      <c r="G774" t="inlineStr">
        <is>
          <t>Base</t>
        </is>
      </c>
      <c r="I774" t="n">
        <v>0</v>
      </c>
    </row>
    <row r="775">
      <c r="A775">
        <f>CHOOSE(MATCH(Config!$B$2,{"PT";"EN"},0),"Seleção","Team")</f>
        <v/>
      </c>
      <c r="B775" t="inlineStr">
        <is>
          <t>Grupo J</t>
        </is>
      </c>
      <c r="C775" t="inlineStr">
        <is>
          <t>AUT</t>
        </is>
      </c>
      <c r="D775" t="inlineStr">
        <is>
          <t>Austria</t>
        </is>
      </c>
      <c r="E775" t="inlineStr">
        <is>
          <t>AUT5</t>
        </is>
      </c>
      <c r="F775" t="inlineStr">
        <is>
          <t>Kevin Danso - Austria</t>
        </is>
      </c>
      <c r="G775" t="inlineStr">
        <is>
          <t>Base</t>
        </is>
      </c>
      <c r="I775" t="n">
        <v>0</v>
      </c>
    </row>
    <row r="776">
      <c r="A776">
        <f>CHOOSE(MATCH(Config!$B$2,{"PT";"EN"},0),"Seleção","Team")</f>
        <v/>
      </c>
      <c r="B776" t="inlineStr">
        <is>
          <t>Grupo J</t>
        </is>
      </c>
      <c r="C776" t="inlineStr">
        <is>
          <t>AUT</t>
        </is>
      </c>
      <c r="D776" t="inlineStr">
        <is>
          <t>Austria</t>
        </is>
      </c>
      <c r="E776" t="inlineStr">
        <is>
          <t>AUT6</t>
        </is>
      </c>
      <c r="F776" t="inlineStr">
        <is>
          <t>Philipp Lienhart - Austria</t>
        </is>
      </c>
      <c r="G776" t="inlineStr">
        <is>
          <t>Base</t>
        </is>
      </c>
      <c r="I776" t="n">
        <v>0</v>
      </c>
    </row>
    <row r="777">
      <c r="A777">
        <f>CHOOSE(MATCH(Config!$B$2,{"PT";"EN"},0),"Seleção","Team")</f>
        <v/>
      </c>
      <c r="B777" t="inlineStr">
        <is>
          <t>Grupo J</t>
        </is>
      </c>
      <c r="C777" t="inlineStr">
        <is>
          <t>AUT</t>
        </is>
      </c>
      <c r="D777" t="inlineStr">
        <is>
          <t>Austria</t>
        </is>
      </c>
      <c r="E777" t="inlineStr">
        <is>
          <t>AUT7</t>
        </is>
      </c>
      <c r="F777" t="inlineStr">
        <is>
          <t>Stefan Posch - Austria</t>
        </is>
      </c>
      <c r="G777" t="inlineStr">
        <is>
          <t>Base</t>
        </is>
      </c>
      <c r="I777" t="n">
        <v>0</v>
      </c>
    </row>
    <row r="778">
      <c r="A778">
        <f>CHOOSE(MATCH(Config!$B$2,{"PT";"EN"},0),"Seleção","Team")</f>
        <v/>
      </c>
      <c r="B778" t="inlineStr">
        <is>
          <t>Grupo J</t>
        </is>
      </c>
      <c r="C778" t="inlineStr">
        <is>
          <t>AUT</t>
        </is>
      </c>
      <c r="D778" t="inlineStr">
        <is>
          <t>Austria</t>
        </is>
      </c>
      <c r="E778" t="inlineStr">
        <is>
          <t>AUT8</t>
        </is>
      </c>
      <c r="F778" t="inlineStr">
        <is>
          <t>Phillipp Mwene - Austria</t>
        </is>
      </c>
      <c r="G778" t="inlineStr">
        <is>
          <t>Base</t>
        </is>
      </c>
      <c r="I778" t="n">
        <v>0</v>
      </c>
    </row>
    <row r="779">
      <c r="A779">
        <f>CHOOSE(MATCH(Config!$B$2,{"PT";"EN"},0),"Seleção","Team")</f>
        <v/>
      </c>
      <c r="B779" t="inlineStr">
        <is>
          <t>Grupo J</t>
        </is>
      </c>
      <c r="C779" t="inlineStr">
        <is>
          <t>AUT</t>
        </is>
      </c>
      <c r="D779" t="inlineStr">
        <is>
          <t>Austria</t>
        </is>
      </c>
      <c r="E779" t="inlineStr">
        <is>
          <t>AUT9</t>
        </is>
      </c>
      <c r="F779" t="inlineStr">
        <is>
          <t>Alexander Prass - Austria</t>
        </is>
      </c>
      <c r="G779" t="inlineStr">
        <is>
          <t>Base</t>
        </is>
      </c>
      <c r="I779" t="n">
        <v>0</v>
      </c>
    </row>
    <row r="780">
      <c r="A780">
        <f>CHOOSE(MATCH(Config!$B$2,{"PT";"EN"},0),"Seleção","Team")</f>
        <v/>
      </c>
      <c r="B780" t="inlineStr">
        <is>
          <t>Grupo J</t>
        </is>
      </c>
      <c r="C780" t="inlineStr">
        <is>
          <t>AUT</t>
        </is>
      </c>
      <c r="D780" t="inlineStr">
        <is>
          <t>Austria</t>
        </is>
      </c>
      <c r="E780" t="inlineStr">
        <is>
          <t>AUT10</t>
        </is>
      </c>
      <c r="F780" t="inlineStr">
        <is>
          <t>Xaver Schlager - Austria</t>
        </is>
      </c>
      <c r="G780" t="inlineStr">
        <is>
          <t>Base</t>
        </is>
      </c>
      <c r="I780" t="n">
        <v>0</v>
      </c>
    </row>
    <row r="781">
      <c r="A781">
        <f>CHOOSE(MATCH(Config!$B$2,{"PT";"EN"},0),"Seleção","Team")</f>
        <v/>
      </c>
      <c r="B781" t="inlineStr">
        <is>
          <t>Grupo J</t>
        </is>
      </c>
      <c r="C781" t="inlineStr">
        <is>
          <t>AUT</t>
        </is>
      </c>
      <c r="D781" t="inlineStr">
        <is>
          <t>Austria</t>
        </is>
      </c>
      <c r="E781" t="inlineStr">
        <is>
          <t>AUT11</t>
        </is>
      </c>
      <c r="F781" t="inlineStr">
        <is>
          <t>Marcel Sabitzer - Austria</t>
        </is>
      </c>
      <c r="G781" t="inlineStr">
        <is>
          <t>Base</t>
        </is>
      </c>
      <c r="I781" t="n">
        <v>0</v>
      </c>
    </row>
    <row r="782">
      <c r="A782">
        <f>CHOOSE(MATCH(Config!$B$2,{"PT";"EN"},0),"Seleção","Team")</f>
        <v/>
      </c>
      <c r="B782" t="inlineStr">
        <is>
          <t>Grupo J</t>
        </is>
      </c>
      <c r="C782" t="inlineStr">
        <is>
          <t>AUT</t>
        </is>
      </c>
      <c r="D782" t="inlineStr">
        <is>
          <t>Austria</t>
        </is>
      </c>
      <c r="E782" t="inlineStr">
        <is>
          <t>AUT12</t>
        </is>
      </c>
      <c r="F782" t="inlineStr">
        <is>
          <t>Konrad Laimer - Austria</t>
        </is>
      </c>
      <c r="G782" t="inlineStr">
        <is>
          <t>Base</t>
        </is>
      </c>
      <c r="I782" t="n">
        <v>0</v>
      </c>
    </row>
    <row r="783">
      <c r="A783">
        <f>CHOOSE(MATCH(Config!$B$2,{"PT";"EN"},0),"Seleção","Team")</f>
        <v/>
      </c>
      <c r="B783" t="inlineStr">
        <is>
          <t>Grupo J</t>
        </is>
      </c>
      <c r="C783" t="inlineStr">
        <is>
          <t>AUT</t>
        </is>
      </c>
      <c r="D783" t="inlineStr">
        <is>
          <t>Austria</t>
        </is>
      </c>
      <c r="E783" t="inlineStr">
        <is>
          <t>AUT13</t>
        </is>
      </c>
      <c r="F783" t="inlineStr">
        <is>
          <t>Team Photo - Austria</t>
        </is>
      </c>
      <c r="G783" t="inlineStr">
        <is>
          <t>Base</t>
        </is>
      </c>
      <c r="I783" t="n">
        <v>0</v>
      </c>
    </row>
    <row r="784">
      <c r="A784">
        <f>CHOOSE(MATCH(Config!$B$2,{"PT";"EN"},0),"Seleção","Team")</f>
        <v/>
      </c>
      <c r="B784" t="inlineStr">
        <is>
          <t>Grupo J</t>
        </is>
      </c>
      <c r="C784" t="inlineStr">
        <is>
          <t>AUT</t>
        </is>
      </c>
      <c r="D784" t="inlineStr">
        <is>
          <t>Austria</t>
        </is>
      </c>
      <c r="E784" t="inlineStr">
        <is>
          <t>AUT14</t>
        </is>
      </c>
      <c r="F784" t="inlineStr">
        <is>
          <t>Florian Grillitsch - Austria</t>
        </is>
      </c>
      <c r="G784" t="inlineStr">
        <is>
          <t>Base</t>
        </is>
      </c>
      <c r="I784" t="n">
        <v>0</v>
      </c>
    </row>
    <row r="785">
      <c r="A785">
        <f>CHOOSE(MATCH(Config!$B$2,{"PT";"EN"},0),"Seleção","Team")</f>
        <v/>
      </c>
      <c r="B785" t="inlineStr">
        <is>
          <t>Grupo J</t>
        </is>
      </c>
      <c r="C785" t="inlineStr">
        <is>
          <t>AUT</t>
        </is>
      </c>
      <c r="D785" t="inlineStr">
        <is>
          <t>Austria</t>
        </is>
      </c>
      <c r="E785" t="inlineStr">
        <is>
          <t>AUT15</t>
        </is>
      </c>
      <c r="F785" t="inlineStr">
        <is>
          <t>Nicolas Seiwald - Austria</t>
        </is>
      </c>
      <c r="G785" t="inlineStr">
        <is>
          <t>Base</t>
        </is>
      </c>
      <c r="I785" t="n">
        <v>0</v>
      </c>
    </row>
    <row r="786">
      <c r="A786">
        <f>CHOOSE(MATCH(Config!$B$2,{"PT";"EN"},0),"Seleção","Team")</f>
        <v/>
      </c>
      <c r="B786" t="inlineStr">
        <is>
          <t>Grupo J</t>
        </is>
      </c>
      <c r="C786" t="inlineStr">
        <is>
          <t>AUT</t>
        </is>
      </c>
      <c r="D786" t="inlineStr">
        <is>
          <t>Austria</t>
        </is>
      </c>
      <c r="E786" t="inlineStr">
        <is>
          <t>AUT16</t>
        </is>
      </c>
      <c r="F786" t="inlineStr">
        <is>
          <t>Romano Schmid - Austria</t>
        </is>
      </c>
      <c r="G786" t="inlineStr">
        <is>
          <t>Base</t>
        </is>
      </c>
      <c r="I786" t="n">
        <v>0</v>
      </c>
    </row>
    <row r="787">
      <c r="A787">
        <f>CHOOSE(MATCH(Config!$B$2,{"PT";"EN"},0),"Seleção","Team")</f>
        <v/>
      </c>
      <c r="B787" t="inlineStr">
        <is>
          <t>Grupo J</t>
        </is>
      </c>
      <c r="C787" t="inlineStr">
        <is>
          <t>AUT</t>
        </is>
      </c>
      <c r="D787" t="inlineStr">
        <is>
          <t>Austria</t>
        </is>
      </c>
      <c r="E787" t="inlineStr">
        <is>
          <t>AUT17</t>
        </is>
      </c>
      <c r="F787" t="inlineStr">
        <is>
          <t>Patrick Wimmer - Austria</t>
        </is>
      </c>
      <c r="G787" t="inlineStr">
        <is>
          <t>Base</t>
        </is>
      </c>
      <c r="I787" t="n">
        <v>0</v>
      </c>
    </row>
    <row r="788">
      <c r="A788">
        <f>CHOOSE(MATCH(Config!$B$2,{"PT";"EN"},0),"Seleção","Team")</f>
        <v/>
      </c>
      <c r="B788" t="inlineStr">
        <is>
          <t>Grupo J</t>
        </is>
      </c>
      <c r="C788" t="inlineStr">
        <is>
          <t>AUT</t>
        </is>
      </c>
      <c r="D788" t="inlineStr">
        <is>
          <t>Austria</t>
        </is>
      </c>
      <c r="E788" t="inlineStr">
        <is>
          <t>AUT18</t>
        </is>
      </c>
      <c r="F788" t="inlineStr">
        <is>
          <t>Christoph Baumgartner - Austria</t>
        </is>
      </c>
      <c r="G788" t="inlineStr">
        <is>
          <t>Base</t>
        </is>
      </c>
      <c r="I788" t="n">
        <v>0</v>
      </c>
    </row>
    <row r="789">
      <c r="A789">
        <f>CHOOSE(MATCH(Config!$B$2,{"PT";"EN"},0),"Seleção","Team")</f>
        <v/>
      </c>
      <c r="B789" t="inlineStr">
        <is>
          <t>Grupo J</t>
        </is>
      </c>
      <c r="C789" t="inlineStr">
        <is>
          <t>AUT</t>
        </is>
      </c>
      <c r="D789" t="inlineStr">
        <is>
          <t>Austria</t>
        </is>
      </c>
      <c r="E789" t="inlineStr">
        <is>
          <t>AUT19</t>
        </is>
      </c>
      <c r="F789" t="inlineStr">
        <is>
          <t>Michael Gregoritsch - Austria</t>
        </is>
      </c>
      <c r="G789" t="inlineStr">
        <is>
          <t>Base</t>
        </is>
      </c>
      <c r="I789" t="n">
        <v>0</v>
      </c>
    </row>
    <row r="790">
      <c r="A790">
        <f>CHOOSE(MATCH(Config!$B$2,{"PT";"EN"},0),"Seleção","Team")</f>
        <v/>
      </c>
      <c r="B790" t="inlineStr">
        <is>
          <t>Grupo J</t>
        </is>
      </c>
      <c r="C790" t="inlineStr">
        <is>
          <t>AUT</t>
        </is>
      </c>
      <c r="D790" t="inlineStr">
        <is>
          <t>Austria</t>
        </is>
      </c>
      <c r="E790" t="inlineStr">
        <is>
          <t>AUT20</t>
        </is>
      </c>
      <c r="F790" t="inlineStr">
        <is>
          <t>Marko Arnautović - Austria</t>
        </is>
      </c>
      <c r="G790" t="inlineStr">
        <is>
          <t>Base</t>
        </is>
      </c>
      <c r="I790" t="n">
        <v>0</v>
      </c>
    </row>
    <row r="791">
      <c r="A791">
        <f>CHOOSE(MATCH(Config!$B$2,{"PT";"EN"},0),"Seleção","Team")</f>
        <v/>
      </c>
      <c r="B791" t="inlineStr">
        <is>
          <t>Grupo J</t>
        </is>
      </c>
      <c r="C791" t="inlineStr">
        <is>
          <t>JOR</t>
        </is>
      </c>
      <c r="D791" t="inlineStr">
        <is>
          <t>Jordan</t>
        </is>
      </c>
      <c r="E791" t="inlineStr">
        <is>
          <t>JOR1</t>
        </is>
      </c>
      <c r="F791" t="inlineStr">
        <is>
          <t>Team Logo - Jordan FOIL</t>
        </is>
      </c>
      <c r="G791" t="inlineStr">
        <is>
          <t>FOIL</t>
        </is>
      </c>
      <c r="I791" t="n">
        <v>0</v>
      </c>
    </row>
    <row r="792">
      <c r="A792">
        <f>CHOOSE(MATCH(Config!$B$2,{"PT";"EN"},0),"Seleção","Team")</f>
        <v/>
      </c>
      <c r="B792" t="inlineStr">
        <is>
          <t>Grupo J</t>
        </is>
      </c>
      <c r="C792" t="inlineStr">
        <is>
          <t>JOR</t>
        </is>
      </c>
      <c r="D792" t="inlineStr">
        <is>
          <t>Jordan</t>
        </is>
      </c>
      <c r="E792" t="inlineStr">
        <is>
          <t>JOR2</t>
        </is>
      </c>
      <c r="F792" t="inlineStr">
        <is>
          <t>Yazeed Abulaila - Jordan</t>
        </is>
      </c>
      <c r="G792" t="inlineStr">
        <is>
          <t>Base</t>
        </is>
      </c>
      <c r="I792" t="n">
        <v>0</v>
      </c>
    </row>
    <row r="793">
      <c r="A793">
        <f>CHOOSE(MATCH(Config!$B$2,{"PT";"EN"},0),"Seleção","Team")</f>
        <v/>
      </c>
      <c r="B793" t="inlineStr">
        <is>
          <t>Grupo J</t>
        </is>
      </c>
      <c r="C793" t="inlineStr">
        <is>
          <t>JOR</t>
        </is>
      </c>
      <c r="D793" t="inlineStr">
        <is>
          <t>Jordan</t>
        </is>
      </c>
      <c r="E793" t="inlineStr">
        <is>
          <t>JOR3</t>
        </is>
      </c>
      <c r="F793" t="inlineStr">
        <is>
          <t>Ihsan Haddad - Jordan</t>
        </is>
      </c>
      <c r="G793" t="inlineStr">
        <is>
          <t>Base</t>
        </is>
      </c>
      <c r="I793" t="n">
        <v>0</v>
      </c>
    </row>
    <row r="794">
      <c r="A794">
        <f>CHOOSE(MATCH(Config!$B$2,{"PT";"EN"},0),"Seleção","Team")</f>
        <v/>
      </c>
      <c r="B794" t="inlineStr">
        <is>
          <t>Grupo J</t>
        </is>
      </c>
      <c r="C794" t="inlineStr">
        <is>
          <t>JOR</t>
        </is>
      </c>
      <c r="D794" t="inlineStr">
        <is>
          <t>Jordan</t>
        </is>
      </c>
      <c r="E794" t="inlineStr">
        <is>
          <t>JOR4</t>
        </is>
      </c>
      <c r="F794" t="inlineStr">
        <is>
          <t>Mohammad Abu Hashish - Jordan</t>
        </is>
      </c>
      <c r="G794" t="inlineStr">
        <is>
          <t>Base</t>
        </is>
      </c>
      <c r="I794" t="n">
        <v>0</v>
      </c>
    </row>
    <row r="795">
      <c r="A795">
        <f>CHOOSE(MATCH(Config!$B$2,{"PT";"EN"},0),"Seleção","Team")</f>
        <v/>
      </c>
      <c r="B795" t="inlineStr">
        <is>
          <t>Grupo J</t>
        </is>
      </c>
      <c r="C795" t="inlineStr">
        <is>
          <t>JOR</t>
        </is>
      </c>
      <c r="D795" t="inlineStr">
        <is>
          <t>Jordan</t>
        </is>
      </c>
      <c r="E795" t="inlineStr">
        <is>
          <t>JOR5</t>
        </is>
      </c>
      <c r="F795" t="inlineStr">
        <is>
          <t>Yazan Al-Arab - Jordan</t>
        </is>
      </c>
      <c r="G795" t="inlineStr">
        <is>
          <t>Base</t>
        </is>
      </c>
      <c r="I795" t="n">
        <v>0</v>
      </c>
    </row>
    <row r="796">
      <c r="A796">
        <f>CHOOSE(MATCH(Config!$B$2,{"PT";"EN"},0),"Seleção","Team")</f>
        <v/>
      </c>
      <c r="B796" t="inlineStr">
        <is>
          <t>Grupo J</t>
        </is>
      </c>
      <c r="C796" t="inlineStr">
        <is>
          <t>JOR</t>
        </is>
      </c>
      <c r="D796" t="inlineStr">
        <is>
          <t>Jordan</t>
        </is>
      </c>
      <c r="E796" t="inlineStr">
        <is>
          <t>JOR6</t>
        </is>
      </c>
      <c r="F796" t="inlineStr">
        <is>
          <t>Abdallah Nasib - Jordan</t>
        </is>
      </c>
      <c r="G796" t="inlineStr">
        <is>
          <t>Base</t>
        </is>
      </c>
      <c r="I796" t="n">
        <v>0</v>
      </c>
    </row>
    <row r="797">
      <c r="A797">
        <f>CHOOSE(MATCH(Config!$B$2,{"PT";"EN"},0),"Seleção","Team")</f>
        <v/>
      </c>
      <c r="B797" t="inlineStr">
        <is>
          <t>Grupo J</t>
        </is>
      </c>
      <c r="C797" t="inlineStr">
        <is>
          <t>JOR</t>
        </is>
      </c>
      <c r="D797" t="inlineStr">
        <is>
          <t>Jordan</t>
        </is>
      </c>
      <c r="E797" t="inlineStr">
        <is>
          <t>JOR7</t>
        </is>
      </c>
      <c r="F797" t="inlineStr">
        <is>
          <t>Saleem Obaid - Jordan</t>
        </is>
      </c>
      <c r="G797" t="inlineStr">
        <is>
          <t>Base</t>
        </is>
      </c>
      <c r="I797" t="n">
        <v>0</v>
      </c>
    </row>
    <row r="798">
      <c r="A798">
        <f>CHOOSE(MATCH(Config!$B$2,{"PT";"EN"},0),"Seleção","Team")</f>
        <v/>
      </c>
      <c r="B798" t="inlineStr">
        <is>
          <t>Grupo J</t>
        </is>
      </c>
      <c r="C798" t="inlineStr">
        <is>
          <t>JOR</t>
        </is>
      </c>
      <c r="D798" t="inlineStr">
        <is>
          <t>Jordan</t>
        </is>
      </c>
      <c r="E798" t="inlineStr">
        <is>
          <t>JOR8</t>
        </is>
      </c>
      <c r="F798" t="inlineStr">
        <is>
          <t>Mohammad Abualnadi - Jordan</t>
        </is>
      </c>
      <c r="G798" t="inlineStr">
        <is>
          <t>Base</t>
        </is>
      </c>
      <c r="I798" t="n">
        <v>0</v>
      </c>
    </row>
    <row r="799">
      <c r="A799">
        <f>CHOOSE(MATCH(Config!$B$2,{"PT";"EN"},0),"Seleção","Team")</f>
        <v/>
      </c>
      <c r="B799" t="inlineStr">
        <is>
          <t>Grupo J</t>
        </is>
      </c>
      <c r="C799" t="inlineStr">
        <is>
          <t>JOR</t>
        </is>
      </c>
      <c r="D799" t="inlineStr">
        <is>
          <t>Jordan</t>
        </is>
      </c>
      <c r="E799" t="inlineStr">
        <is>
          <t>JOR9</t>
        </is>
      </c>
      <c r="F799" t="inlineStr">
        <is>
          <t>Ibrahim Saadeh - Jordan</t>
        </is>
      </c>
      <c r="G799" t="inlineStr">
        <is>
          <t>Base</t>
        </is>
      </c>
      <c r="I799" t="n">
        <v>0</v>
      </c>
    </row>
    <row r="800">
      <c r="A800">
        <f>CHOOSE(MATCH(Config!$B$2,{"PT";"EN"},0),"Seleção","Team")</f>
        <v/>
      </c>
      <c r="B800" t="inlineStr">
        <is>
          <t>Grupo J</t>
        </is>
      </c>
      <c r="C800" t="inlineStr">
        <is>
          <t>JOR</t>
        </is>
      </c>
      <c r="D800" t="inlineStr">
        <is>
          <t>Jordan</t>
        </is>
      </c>
      <c r="E800" t="inlineStr">
        <is>
          <t>JOR10</t>
        </is>
      </c>
      <c r="F800" t="inlineStr">
        <is>
          <t>Nizar Al-Rashdan - Jordan</t>
        </is>
      </c>
      <c r="G800" t="inlineStr">
        <is>
          <t>Base</t>
        </is>
      </c>
      <c r="I800" t="n">
        <v>0</v>
      </c>
    </row>
    <row r="801">
      <c r="A801">
        <f>CHOOSE(MATCH(Config!$B$2,{"PT";"EN"},0),"Seleção","Team")</f>
        <v/>
      </c>
      <c r="B801" t="inlineStr">
        <is>
          <t>Grupo J</t>
        </is>
      </c>
      <c r="C801" t="inlineStr">
        <is>
          <t>JOR</t>
        </is>
      </c>
      <c r="D801" t="inlineStr">
        <is>
          <t>Jordan</t>
        </is>
      </c>
      <c r="E801" t="inlineStr">
        <is>
          <t>JOR11</t>
        </is>
      </c>
      <c r="F801" t="inlineStr">
        <is>
          <t>Noor Al-Rawabdeh - Jordan</t>
        </is>
      </c>
      <c r="G801" t="inlineStr">
        <is>
          <t>Base</t>
        </is>
      </c>
      <c r="I801" t="n">
        <v>0</v>
      </c>
    </row>
    <row r="802">
      <c r="A802">
        <f>CHOOSE(MATCH(Config!$B$2,{"PT";"EN"},0),"Seleção","Team")</f>
        <v/>
      </c>
      <c r="B802" t="inlineStr">
        <is>
          <t>Grupo J</t>
        </is>
      </c>
      <c r="C802" t="inlineStr">
        <is>
          <t>JOR</t>
        </is>
      </c>
      <c r="D802" t="inlineStr">
        <is>
          <t>Jordan</t>
        </is>
      </c>
      <c r="E802" t="inlineStr">
        <is>
          <t>JOR12</t>
        </is>
      </c>
      <c r="F802" t="inlineStr">
        <is>
          <t>Mohannad Abu Taha - Jordan</t>
        </is>
      </c>
      <c r="G802" t="inlineStr">
        <is>
          <t>Base</t>
        </is>
      </c>
      <c r="I802" t="n">
        <v>0</v>
      </c>
    </row>
    <row r="803">
      <c r="A803">
        <f>CHOOSE(MATCH(Config!$B$2,{"PT";"EN"},0),"Seleção","Team")</f>
        <v/>
      </c>
      <c r="B803" t="inlineStr">
        <is>
          <t>Grupo J</t>
        </is>
      </c>
      <c r="C803" t="inlineStr">
        <is>
          <t>JOR</t>
        </is>
      </c>
      <c r="D803" t="inlineStr">
        <is>
          <t>Jordan</t>
        </is>
      </c>
      <c r="E803" t="inlineStr">
        <is>
          <t>JOR13</t>
        </is>
      </c>
      <c r="F803" t="inlineStr">
        <is>
          <t>Team Photo - Jordan</t>
        </is>
      </c>
      <c r="G803" t="inlineStr">
        <is>
          <t>Base</t>
        </is>
      </c>
      <c r="I803" t="n">
        <v>0</v>
      </c>
    </row>
    <row r="804">
      <c r="A804">
        <f>CHOOSE(MATCH(Config!$B$2,{"PT";"EN"},0),"Seleção","Team")</f>
        <v/>
      </c>
      <c r="B804" t="inlineStr">
        <is>
          <t>Grupo J</t>
        </is>
      </c>
      <c r="C804" t="inlineStr">
        <is>
          <t>JOR</t>
        </is>
      </c>
      <c r="D804" t="inlineStr">
        <is>
          <t>Jordan</t>
        </is>
      </c>
      <c r="E804" t="inlineStr">
        <is>
          <t>JOR14</t>
        </is>
      </c>
      <c r="F804" t="inlineStr">
        <is>
          <t>Amer Jamous - Jordan</t>
        </is>
      </c>
      <c r="G804" t="inlineStr">
        <is>
          <t>Base</t>
        </is>
      </c>
      <c r="I804" t="n">
        <v>0</v>
      </c>
    </row>
    <row r="805">
      <c r="A805">
        <f>CHOOSE(MATCH(Config!$B$2,{"PT";"EN"},0),"Seleção","Team")</f>
        <v/>
      </c>
      <c r="B805" t="inlineStr">
        <is>
          <t>Grupo J</t>
        </is>
      </c>
      <c r="C805" t="inlineStr">
        <is>
          <t>JOR</t>
        </is>
      </c>
      <c r="D805" t="inlineStr">
        <is>
          <t>Jordan</t>
        </is>
      </c>
      <c r="E805" t="inlineStr">
        <is>
          <t>JOR15</t>
        </is>
      </c>
      <c r="F805" t="inlineStr">
        <is>
          <t>Musa Al-Taamari - Jordan</t>
        </is>
      </c>
      <c r="G805" t="inlineStr">
        <is>
          <t>Base</t>
        </is>
      </c>
      <c r="I805" t="n">
        <v>0</v>
      </c>
    </row>
    <row r="806">
      <c r="A806">
        <f>CHOOSE(MATCH(Config!$B$2,{"PT";"EN"},0),"Seleção","Team")</f>
        <v/>
      </c>
      <c r="B806" t="inlineStr">
        <is>
          <t>Grupo J</t>
        </is>
      </c>
      <c r="C806" t="inlineStr">
        <is>
          <t>JOR</t>
        </is>
      </c>
      <c r="D806" t="inlineStr">
        <is>
          <t>Jordan</t>
        </is>
      </c>
      <c r="E806" t="inlineStr">
        <is>
          <t>JOR16</t>
        </is>
      </c>
      <c r="F806" t="inlineStr">
        <is>
          <t>Yazan Al-Naimat - Jordan</t>
        </is>
      </c>
      <c r="G806" t="inlineStr">
        <is>
          <t>Base</t>
        </is>
      </c>
      <c r="I806" t="n">
        <v>0</v>
      </c>
    </row>
    <row r="807">
      <c r="A807">
        <f>CHOOSE(MATCH(Config!$B$2,{"PT";"EN"},0),"Seleção","Team")</f>
        <v/>
      </c>
      <c r="B807" t="inlineStr">
        <is>
          <t>Grupo J</t>
        </is>
      </c>
      <c r="C807" t="inlineStr">
        <is>
          <t>JOR</t>
        </is>
      </c>
      <c r="D807" t="inlineStr">
        <is>
          <t>Jordan</t>
        </is>
      </c>
      <c r="E807" t="inlineStr">
        <is>
          <t>JOR17</t>
        </is>
      </c>
      <c r="F807" t="inlineStr">
        <is>
          <t>Mahmoud Al-Mardi - Jordan</t>
        </is>
      </c>
      <c r="G807" t="inlineStr">
        <is>
          <t>Base</t>
        </is>
      </c>
      <c r="I807" t="n">
        <v>0</v>
      </c>
    </row>
    <row r="808">
      <c r="A808">
        <f>CHOOSE(MATCH(Config!$B$2,{"PT";"EN"},0),"Seleção","Team")</f>
        <v/>
      </c>
      <c r="B808" t="inlineStr">
        <is>
          <t>Grupo J</t>
        </is>
      </c>
      <c r="C808" t="inlineStr">
        <is>
          <t>JOR</t>
        </is>
      </c>
      <c r="D808" t="inlineStr">
        <is>
          <t>Jordan</t>
        </is>
      </c>
      <c r="E808" t="inlineStr">
        <is>
          <t>JOR18</t>
        </is>
      </c>
      <c r="F808" t="inlineStr">
        <is>
          <t>Ali Olwan - Jordan</t>
        </is>
      </c>
      <c r="G808" t="inlineStr">
        <is>
          <t>Base</t>
        </is>
      </c>
      <c r="I808" t="n">
        <v>0</v>
      </c>
    </row>
    <row r="809">
      <c r="A809">
        <f>CHOOSE(MATCH(Config!$B$2,{"PT";"EN"},0),"Seleção","Team")</f>
        <v/>
      </c>
      <c r="B809" t="inlineStr">
        <is>
          <t>Grupo J</t>
        </is>
      </c>
      <c r="C809" t="inlineStr">
        <is>
          <t>JOR</t>
        </is>
      </c>
      <c r="D809" t="inlineStr">
        <is>
          <t>Jordan</t>
        </is>
      </c>
      <c r="E809" t="inlineStr">
        <is>
          <t>JOR19</t>
        </is>
      </c>
      <c r="F809" t="inlineStr">
        <is>
          <t>Mohammad Abu Zrayq - Jordan</t>
        </is>
      </c>
      <c r="G809" t="inlineStr">
        <is>
          <t>Base</t>
        </is>
      </c>
      <c r="I809" t="n">
        <v>0</v>
      </c>
    </row>
    <row r="810">
      <c r="A810">
        <f>CHOOSE(MATCH(Config!$B$2,{"PT";"EN"},0),"Seleção","Team")</f>
        <v/>
      </c>
      <c r="B810" t="inlineStr">
        <is>
          <t>Grupo J</t>
        </is>
      </c>
      <c r="C810" t="inlineStr">
        <is>
          <t>JOR</t>
        </is>
      </c>
      <c r="D810" t="inlineStr">
        <is>
          <t>Jordan</t>
        </is>
      </c>
      <c r="E810" t="inlineStr">
        <is>
          <t>JOR20</t>
        </is>
      </c>
      <c r="F810" t="inlineStr">
        <is>
          <t>Ibrahim Sabra - Jordan</t>
        </is>
      </c>
      <c r="G810" t="inlineStr">
        <is>
          <t>Base</t>
        </is>
      </c>
      <c r="I810" t="n">
        <v>0</v>
      </c>
    </row>
    <row r="811">
      <c r="A811">
        <f>CHOOSE(MATCH(Config!$B$2,{"PT";"EN"},0),"Seleção","Team")</f>
        <v/>
      </c>
      <c r="B811" t="inlineStr">
        <is>
          <t>Grupo K</t>
        </is>
      </c>
      <c r="C811" t="inlineStr">
        <is>
          <t>POR</t>
        </is>
      </c>
      <c r="D811" t="inlineStr">
        <is>
          <t>Portugal</t>
        </is>
      </c>
      <c r="E811" t="inlineStr">
        <is>
          <t>POR1</t>
        </is>
      </c>
      <c r="F811" t="inlineStr">
        <is>
          <t>Team Logo - Portugal FOIL</t>
        </is>
      </c>
      <c r="G811" t="inlineStr">
        <is>
          <t>FOIL</t>
        </is>
      </c>
      <c r="I811" t="n">
        <v>0</v>
      </c>
    </row>
    <row r="812">
      <c r="A812">
        <f>CHOOSE(MATCH(Config!$B$2,{"PT";"EN"},0),"Seleção","Team")</f>
        <v/>
      </c>
      <c r="B812" t="inlineStr">
        <is>
          <t>Grupo K</t>
        </is>
      </c>
      <c r="C812" t="inlineStr">
        <is>
          <t>POR</t>
        </is>
      </c>
      <c r="D812" t="inlineStr">
        <is>
          <t>Portugal</t>
        </is>
      </c>
      <c r="E812" t="inlineStr">
        <is>
          <t>POR2</t>
        </is>
      </c>
      <c r="F812" t="inlineStr">
        <is>
          <t>Diogo Costa - Portugal</t>
        </is>
      </c>
      <c r="G812" t="inlineStr">
        <is>
          <t>Base</t>
        </is>
      </c>
      <c r="I812" t="n">
        <v>0</v>
      </c>
    </row>
    <row r="813">
      <c r="A813">
        <f>CHOOSE(MATCH(Config!$B$2,{"PT";"EN"},0),"Seleção","Team")</f>
        <v/>
      </c>
      <c r="B813" t="inlineStr">
        <is>
          <t>Grupo K</t>
        </is>
      </c>
      <c r="C813" t="inlineStr">
        <is>
          <t>POR</t>
        </is>
      </c>
      <c r="D813" t="inlineStr">
        <is>
          <t>Portugal</t>
        </is>
      </c>
      <c r="E813" t="inlineStr">
        <is>
          <t>POR3</t>
        </is>
      </c>
      <c r="F813" t="inlineStr">
        <is>
          <t>Jose Sa - Portugal</t>
        </is>
      </c>
      <c r="G813" t="inlineStr">
        <is>
          <t>Base</t>
        </is>
      </c>
      <c r="I813" t="n">
        <v>0</v>
      </c>
    </row>
    <row r="814">
      <c r="A814">
        <f>CHOOSE(MATCH(Config!$B$2,{"PT";"EN"},0),"Seleção","Team")</f>
        <v/>
      </c>
      <c r="B814" t="inlineStr">
        <is>
          <t>Grupo K</t>
        </is>
      </c>
      <c r="C814" t="inlineStr">
        <is>
          <t>POR</t>
        </is>
      </c>
      <c r="D814" t="inlineStr">
        <is>
          <t>Portugal</t>
        </is>
      </c>
      <c r="E814" t="inlineStr">
        <is>
          <t>POR4</t>
        </is>
      </c>
      <c r="F814" t="inlineStr">
        <is>
          <t>Ruben Dias - Portugal</t>
        </is>
      </c>
      <c r="G814" t="inlineStr">
        <is>
          <t>Base</t>
        </is>
      </c>
      <c r="I814" t="n">
        <v>0</v>
      </c>
    </row>
    <row r="815">
      <c r="A815">
        <f>CHOOSE(MATCH(Config!$B$2,{"PT";"EN"},0),"Seleção","Team")</f>
        <v/>
      </c>
      <c r="B815" t="inlineStr">
        <is>
          <t>Grupo K</t>
        </is>
      </c>
      <c r="C815" t="inlineStr">
        <is>
          <t>POR</t>
        </is>
      </c>
      <c r="D815" t="inlineStr">
        <is>
          <t>Portugal</t>
        </is>
      </c>
      <c r="E815" t="inlineStr">
        <is>
          <t>POR5</t>
        </is>
      </c>
      <c r="F815" t="inlineStr">
        <is>
          <t>João Cancelo - Portugal</t>
        </is>
      </c>
      <c r="G815" t="inlineStr">
        <is>
          <t>Base</t>
        </is>
      </c>
      <c r="I815" t="n">
        <v>0</v>
      </c>
    </row>
    <row r="816">
      <c r="A816">
        <f>CHOOSE(MATCH(Config!$B$2,{"PT";"EN"},0),"Seleção","Team")</f>
        <v/>
      </c>
      <c r="B816" t="inlineStr">
        <is>
          <t>Grupo K</t>
        </is>
      </c>
      <c r="C816" t="inlineStr">
        <is>
          <t>POR</t>
        </is>
      </c>
      <c r="D816" t="inlineStr">
        <is>
          <t>Portugal</t>
        </is>
      </c>
      <c r="E816" t="inlineStr">
        <is>
          <t>POR6</t>
        </is>
      </c>
      <c r="F816" t="inlineStr">
        <is>
          <t>Diogo Dalot - Portugal</t>
        </is>
      </c>
      <c r="G816" t="inlineStr">
        <is>
          <t>Base</t>
        </is>
      </c>
      <c r="I816" t="n">
        <v>0</v>
      </c>
    </row>
    <row r="817">
      <c r="A817">
        <f>CHOOSE(MATCH(Config!$B$2,{"PT";"EN"},0),"Seleção","Team")</f>
        <v/>
      </c>
      <c r="B817" t="inlineStr">
        <is>
          <t>Grupo K</t>
        </is>
      </c>
      <c r="C817" t="inlineStr">
        <is>
          <t>POR</t>
        </is>
      </c>
      <c r="D817" t="inlineStr">
        <is>
          <t>Portugal</t>
        </is>
      </c>
      <c r="E817" t="inlineStr">
        <is>
          <t>POR7</t>
        </is>
      </c>
      <c r="F817" t="inlineStr">
        <is>
          <t>Nuno Mendes - Portugal</t>
        </is>
      </c>
      <c r="G817" t="inlineStr">
        <is>
          <t>Base</t>
        </is>
      </c>
      <c r="I817" t="n">
        <v>0</v>
      </c>
    </row>
    <row r="818">
      <c r="A818">
        <f>CHOOSE(MATCH(Config!$B$2,{"PT";"EN"},0),"Seleção","Team")</f>
        <v/>
      </c>
      <c r="B818" t="inlineStr">
        <is>
          <t>Grupo K</t>
        </is>
      </c>
      <c r="C818" t="inlineStr">
        <is>
          <t>POR</t>
        </is>
      </c>
      <c r="D818" t="inlineStr">
        <is>
          <t>Portugal</t>
        </is>
      </c>
      <c r="E818" t="inlineStr">
        <is>
          <t>POR8</t>
        </is>
      </c>
      <c r="F818" t="inlineStr">
        <is>
          <t>Gonçalo Inácio - Portugal</t>
        </is>
      </c>
      <c r="G818" t="inlineStr">
        <is>
          <t>Base</t>
        </is>
      </c>
      <c r="I818" t="n">
        <v>0</v>
      </c>
    </row>
    <row r="819">
      <c r="A819">
        <f>CHOOSE(MATCH(Config!$B$2,{"PT";"EN"},0),"Seleção","Team")</f>
        <v/>
      </c>
      <c r="B819" t="inlineStr">
        <is>
          <t>Grupo K</t>
        </is>
      </c>
      <c r="C819" t="inlineStr">
        <is>
          <t>POR</t>
        </is>
      </c>
      <c r="D819" t="inlineStr">
        <is>
          <t>Portugal</t>
        </is>
      </c>
      <c r="E819" t="inlineStr">
        <is>
          <t>POR9</t>
        </is>
      </c>
      <c r="F819" t="inlineStr">
        <is>
          <t>Bernardo Silva - Portugal</t>
        </is>
      </c>
      <c r="G819" t="inlineStr">
        <is>
          <t>Base</t>
        </is>
      </c>
      <c r="I819" t="n">
        <v>0</v>
      </c>
    </row>
    <row r="820">
      <c r="A820">
        <f>CHOOSE(MATCH(Config!$B$2,{"PT";"EN"},0),"Seleção","Team")</f>
        <v/>
      </c>
      <c r="B820" t="inlineStr">
        <is>
          <t>Grupo K</t>
        </is>
      </c>
      <c r="C820" t="inlineStr">
        <is>
          <t>POR</t>
        </is>
      </c>
      <c r="D820" t="inlineStr">
        <is>
          <t>Portugal</t>
        </is>
      </c>
      <c r="E820" t="inlineStr">
        <is>
          <t>POR10</t>
        </is>
      </c>
      <c r="F820" t="inlineStr">
        <is>
          <t>Bruno Fernandes - Portugal</t>
        </is>
      </c>
      <c r="G820" t="inlineStr">
        <is>
          <t>Base</t>
        </is>
      </c>
      <c r="I820" t="n">
        <v>0</v>
      </c>
    </row>
    <row r="821">
      <c r="A821">
        <f>CHOOSE(MATCH(Config!$B$2,{"PT";"EN"},0),"Seleção","Team")</f>
        <v/>
      </c>
      <c r="B821" t="inlineStr">
        <is>
          <t>Grupo K</t>
        </is>
      </c>
      <c r="C821" t="inlineStr">
        <is>
          <t>POR</t>
        </is>
      </c>
      <c r="D821" t="inlineStr">
        <is>
          <t>Portugal</t>
        </is>
      </c>
      <c r="E821" t="inlineStr">
        <is>
          <t>POR11</t>
        </is>
      </c>
      <c r="F821" t="inlineStr">
        <is>
          <t>Ruben Neves - Portugal</t>
        </is>
      </c>
      <c r="G821" t="inlineStr">
        <is>
          <t>Base</t>
        </is>
      </c>
      <c r="I821" t="n">
        <v>0</v>
      </c>
    </row>
    <row r="822">
      <c r="A822">
        <f>CHOOSE(MATCH(Config!$B$2,{"PT";"EN"},0),"Seleção","Team")</f>
        <v/>
      </c>
      <c r="B822" t="inlineStr">
        <is>
          <t>Grupo K</t>
        </is>
      </c>
      <c r="C822" t="inlineStr">
        <is>
          <t>POR</t>
        </is>
      </c>
      <c r="D822" t="inlineStr">
        <is>
          <t>Portugal</t>
        </is>
      </c>
      <c r="E822" t="inlineStr">
        <is>
          <t>POR12</t>
        </is>
      </c>
      <c r="F822" t="inlineStr">
        <is>
          <t>Vitinha - Portugal</t>
        </is>
      </c>
      <c r="G822" t="inlineStr">
        <is>
          <t>Base</t>
        </is>
      </c>
      <c r="I822" t="n">
        <v>0</v>
      </c>
    </row>
    <row r="823">
      <c r="A823">
        <f>CHOOSE(MATCH(Config!$B$2,{"PT";"EN"},0),"Seleção","Team")</f>
        <v/>
      </c>
      <c r="B823" t="inlineStr">
        <is>
          <t>Grupo K</t>
        </is>
      </c>
      <c r="C823" t="inlineStr">
        <is>
          <t>POR</t>
        </is>
      </c>
      <c r="D823" t="inlineStr">
        <is>
          <t>Portugal</t>
        </is>
      </c>
      <c r="E823" t="inlineStr">
        <is>
          <t>POR13</t>
        </is>
      </c>
      <c r="F823" t="inlineStr">
        <is>
          <t>Team Photo - Portugal</t>
        </is>
      </c>
      <c r="G823" t="inlineStr">
        <is>
          <t>Base</t>
        </is>
      </c>
      <c r="I823" t="n">
        <v>0</v>
      </c>
    </row>
    <row r="824">
      <c r="A824">
        <f>CHOOSE(MATCH(Config!$B$2,{"PT";"EN"},0),"Seleção","Team")</f>
        <v/>
      </c>
      <c r="B824" t="inlineStr">
        <is>
          <t>Grupo K</t>
        </is>
      </c>
      <c r="C824" t="inlineStr">
        <is>
          <t>POR</t>
        </is>
      </c>
      <c r="D824" t="inlineStr">
        <is>
          <t>Portugal</t>
        </is>
      </c>
      <c r="E824" t="inlineStr">
        <is>
          <t>POR14</t>
        </is>
      </c>
      <c r="F824" t="inlineStr">
        <is>
          <t>João Neves - Portugal</t>
        </is>
      </c>
      <c r="G824" t="inlineStr">
        <is>
          <t>Base</t>
        </is>
      </c>
      <c r="I824" t="n">
        <v>0</v>
      </c>
    </row>
    <row r="825">
      <c r="A825">
        <f>CHOOSE(MATCH(Config!$B$2,{"PT";"EN"},0),"Seleção","Team")</f>
        <v/>
      </c>
      <c r="B825" t="inlineStr">
        <is>
          <t>Grupo K</t>
        </is>
      </c>
      <c r="C825" t="inlineStr">
        <is>
          <t>POR</t>
        </is>
      </c>
      <c r="D825" t="inlineStr">
        <is>
          <t>Portugal</t>
        </is>
      </c>
      <c r="E825" t="inlineStr">
        <is>
          <t>POR15</t>
        </is>
      </c>
      <c r="F825" t="inlineStr">
        <is>
          <t>Cristiano Ronaldo - Portugal</t>
        </is>
      </c>
      <c r="G825" t="inlineStr">
        <is>
          <t>Base</t>
        </is>
      </c>
      <c r="I825" t="n">
        <v>0</v>
      </c>
    </row>
    <row r="826">
      <c r="A826">
        <f>CHOOSE(MATCH(Config!$B$2,{"PT";"EN"},0),"Seleção","Team")</f>
        <v/>
      </c>
      <c r="B826" t="inlineStr">
        <is>
          <t>Grupo K</t>
        </is>
      </c>
      <c r="C826" t="inlineStr">
        <is>
          <t>POR</t>
        </is>
      </c>
      <c r="D826" t="inlineStr">
        <is>
          <t>Portugal</t>
        </is>
      </c>
      <c r="E826" t="inlineStr">
        <is>
          <t>POR16</t>
        </is>
      </c>
      <c r="F826" t="inlineStr">
        <is>
          <t>Francisco Trincao - Portugal</t>
        </is>
      </c>
      <c r="G826" t="inlineStr">
        <is>
          <t>Base</t>
        </is>
      </c>
      <c r="I826" t="n">
        <v>0</v>
      </c>
    </row>
    <row r="827">
      <c r="A827">
        <f>CHOOSE(MATCH(Config!$B$2,{"PT";"EN"},0),"Seleção","Team")</f>
        <v/>
      </c>
      <c r="B827" t="inlineStr">
        <is>
          <t>Grupo K</t>
        </is>
      </c>
      <c r="C827" t="inlineStr">
        <is>
          <t>POR</t>
        </is>
      </c>
      <c r="D827" t="inlineStr">
        <is>
          <t>Portugal</t>
        </is>
      </c>
      <c r="E827" t="inlineStr">
        <is>
          <t>POR17</t>
        </is>
      </c>
      <c r="F827" t="inlineStr">
        <is>
          <t>João Felix - Portugal</t>
        </is>
      </c>
      <c r="G827" t="inlineStr">
        <is>
          <t>Base</t>
        </is>
      </c>
      <c r="I827" t="n">
        <v>0</v>
      </c>
    </row>
    <row r="828">
      <c r="A828">
        <f>CHOOSE(MATCH(Config!$B$2,{"PT";"EN"},0),"Seleção","Team")</f>
        <v/>
      </c>
      <c r="B828" t="inlineStr">
        <is>
          <t>Grupo K</t>
        </is>
      </c>
      <c r="C828" t="inlineStr">
        <is>
          <t>POR</t>
        </is>
      </c>
      <c r="D828" t="inlineStr">
        <is>
          <t>Portugal</t>
        </is>
      </c>
      <c r="E828" t="inlineStr">
        <is>
          <t>POR18</t>
        </is>
      </c>
      <c r="F828" t="inlineStr">
        <is>
          <t>Gonçalo Ramos - Portugal</t>
        </is>
      </c>
      <c r="G828" t="inlineStr">
        <is>
          <t>Base</t>
        </is>
      </c>
      <c r="I828" t="n">
        <v>0</v>
      </c>
    </row>
    <row r="829">
      <c r="A829">
        <f>CHOOSE(MATCH(Config!$B$2,{"PT";"EN"},0),"Seleção","Team")</f>
        <v/>
      </c>
      <c r="B829" t="inlineStr">
        <is>
          <t>Grupo K</t>
        </is>
      </c>
      <c r="C829" t="inlineStr">
        <is>
          <t>POR</t>
        </is>
      </c>
      <c r="D829" t="inlineStr">
        <is>
          <t>Portugal</t>
        </is>
      </c>
      <c r="E829" t="inlineStr">
        <is>
          <t>POR19</t>
        </is>
      </c>
      <c r="F829" t="inlineStr">
        <is>
          <t>Pedro Neto - Portugal</t>
        </is>
      </c>
      <c r="G829" t="inlineStr">
        <is>
          <t>Base</t>
        </is>
      </c>
      <c r="I829" t="n">
        <v>0</v>
      </c>
    </row>
    <row r="830">
      <c r="A830">
        <f>CHOOSE(MATCH(Config!$B$2,{"PT";"EN"},0),"Seleção","Team")</f>
        <v/>
      </c>
      <c r="B830" t="inlineStr">
        <is>
          <t>Grupo K</t>
        </is>
      </c>
      <c r="C830" t="inlineStr">
        <is>
          <t>POR</t>
        </is>
      </c>
      <c r="D830" t="inlineStr">
        <is>
          <t>Portugal</t>
        </is>
      </c>
      <c r="E830" t="inlineStr">
        <is>
          <t>POR20</t>
        </is>
      </c>
      <c r="F830" t="inlineStr">
        <is>
          <t>Rafael Leão - Portugal</t>
        </is>
      </c>
      <c r="G830" t="inlineStr">
        <is>
          <t>Base</t>
        </is>
      </c>
      <c r="I830" t="n">
        <v>0</v>
      </c>
    </row>
    <row r="831">
      <c r="A831">
        <f>CHOOSE(MATCH(Config!$B$2,{"PT";"EN"},0),"Seleção","Team")</f>
        <v/>
      </c>
      <c r="B831" t="inlineStr">
        <is>
          <t>Grupo K</t>
        </is>
      </c>
      <c r="C831" t="inlineStr">
        <is>
          <t>COD</t>
        </is>
      </c>
      <c r="D831" t="inlineStr">
        <is>
          <t>Congo DR</t>
        </is>
      </c>
      <c r="E831" t="inlineStr">
        <is>
          <t>COD1</t>
        </is>
      </c>
      <c r="F831" t="inlineStr">
        <is>
          <t>Team Logo - Congo DR FOIL</t>
        </is>
      </c>
      <c r="G831" t="inlineStr">
        <is>
          <t>FOIL</t>
        </is>
      </c>
      <c r="I831" t="n">
        <v>0</v>
      </c>
    </row>
    <row r="832">
      <c r="A832">
        <f>CHOOSE(MATCH(Config!$B$2,{"PT";"EN"},0),"Seleção","Team")</f>
        <v/>
      </c>
      <c r="B832" t="inlineStr">
        <is>
          <t>Grupo K</t>
        </is>
      </c>
      <c r="C832" t="inlineStr">
        <is>
          <t>COD</t>
        </is>
      </c>
      <c r="D832" t="inlineStr">
        <is>
          <t>Congo DR</t>
        </is>
      </c>
      <c r="E832" t="inlineStr">
        <is>
          <t>COD2</t>
        </is>
      </c>
      <c r="F832" t="inlineStr">
        <is>
          <t>Lionel Mpasi - Congo DR</t>
        </is>
      </c>
      <c r="G832" t="inlineStr">
        <is>
          <t>Base</t>
        </is>
      </c>
      <c r="I832" t="n">
        <v>0</v>
      </c>
    </row>
    <row r="833">
      <c r="A833">
        <f>CHOOSE(MATCH(Config!$B$2,{"PT";"EN"},0),"Seleção","Team")</f>
        <v/>
      </c>
      <c r="B833" t="inlineStr">
        <is>
          <t>Grupo K</t>
        </is>
      </c>
      <c r="C833" t="inlineStr">
        <is>
          <t>COD</t>
        </is>
      </c>
      <c r="D833" t="inlineStr">
        <is>
          <t>Congo DR</t>
        </is>
      </c>
      <c r="E833" t="inlineStr">
        <is>
          <t>COD3</t>
        </is>
      </c>
      <c r="F833" t="inlineStr">
        <is>
          <t>Aaron Wan-Bissaka - Congo DR</t>
        </is>
      </c>
      <c r="G833" t="inlineStr">
        <is>
          <t>Base</t>
        </is>
      </c>
      <c r="I833" t="n">
        <v>0</v>
      </c>
    </row>
    <row r="834">
      <c r="A834">
        <f>CHOOSE(MATCH(Config!$B$2,{"PT";"EN"},0),"Seleção","Team")</f>
        <v/>
      </c>
      <c r="B834" t="inlineStr">
        <is>
          <t>Grupo K</t>
        </is>
      </c>
      <c r="C834" t="inlineStr">
        <is>
          <t>COD</t>
        </is>
      </c>
      <c r="D834" t="inlineStr">
        <is>
          <t>Congo DR</t>
        </is>
      </c>
      <c r="E834" t="inlineStr">
        <is>
          <t>COD4</t>
        </is>
      </c>
      <c r="F834" t="inlineStr">
        <is>
          <t>Axel Tuanzebe - Congo DR</t>
        </is>
      </c>
      <c r="G834" t="inlineStr">
        <is>
          <t>Base</t>
        </is>
      </c>
      <c r="I834" t="n">
        <v>0</v>
      </c>
    </row>
    <row r="835">
      <c r="A835">
        <f>CHOOSE(MATCH(Config!$B$2,{"PT";"EN"},0),"Seleção","Team")</f>
        <v/>
      </c>
      <c r="B835" t="inlineStr">
        <is>
          <t>Grupo K</t>
        </is>
      </c>
      <c r="C835" t="inlineStr">
        <is>
          <t>COD</t>
        </is>
      </c>
      <c r="D835" t="inlineStr">
        <is>
          <t>Congo DR</t>
        </is>
      </c>
      <c r="E835" t="inlineStr">
        <is>
          <t>COD5</t>
        </is>
      </c>
      <c r="F835" t="inlineStr">
        <is>
          <t>Arthur Masuaku - Congo DR</t>
        </is>
      </c>
      <c r="G835" t="inlineStr">
        <is>
          <t>Base</t>
        </is>
      </c>
      <c r="I835" t="n">
        <v>0</v>
      </c>
    </row>
    <row r="836">
      <c r="A836">
        <f>CHOOSE(MATCH(Config!$B$2,{"PT";"EN"},0),"Seleção","Team")</f>
        <v/>
      </c>
      <c r="B836" t="inlineStr">
        <is>
          <t>Grupo K</t>
        </is>
      </c>
      <c r="C836" t="inlineStr">
        <is>
          <t>COD</t>
        </is>
      </c>
      <c r="D836" t="inlineStr">
        <is>
          <t>Congo DR</t>
        </is>
      </c>
      <c r="E836" t="inlineStr">
        <is>
          <t>COD6</t>
        </is>
      </c>
      <c r="F836" t="inlineStr">
        <is>
          <t>Chancel Mbemba - Congo DR</t>
        </is>
      </c>
      <c r="G836" t="inlineStr">
        <is>
          <t>Base</t>
        </is>
      </c>
      <c r="I836" t="n">
        <v>0</v>
      </c>
    </row>
    <row r="837">
      <c r="A837">
        <f>CHOOSE(MATCH(Config!$B$2,{"PT";"EN"},0),"Seleção","Team")</f>
        <v/>
      </c>
      <c r="B837" t="inlineStr">
        <is>
          <t>Grupo K</t>
        </is>
      </c>
      <c r="C837" t="inlineStr">
        <is>
          <t>COD</t>
        </is>
      </c>
      <c r="D837" t="inlineStr">
        <is>
          <t>Congo DR</t>
        </is>
      </c>
      <c r="E837" t="inlineStr">
        <is>
          <t>COD7</t>
        </is>
      </c>
      <c r="F837" t="inlineStr">
        <is>
          <t>Joris Kayembe - Congo DR</t>
        </is>
      </c>
      <c r="G837" t="inlineStr">
        <is>
          <t>Base</t>
        </is>
      </c>
      <c r="I837" t="n">
        <v>0</v>
      </c>
    </row>
    <row r="838">
      <c r="A838">
        <f>CHOOSE(MATCH(Config!$B$2,{"PT";"EN"},0),"Seleção","Team")</f>
        <v/>
      </c>
      <c r="B838" t="inlineStr">
        <is>
          <t>Grupo K</t>
        </is>
      </c>
      <c r="C838" t="inlineStr">
        <is>
          <t>COD</t>
        </is>
      </c>
      <c r="D838" t="inlineStr">
        <is>
          <t>Congo DR</t>
        </is>
      </c>
      <c r="E838" t="inlineStr">
        <is>
          <t>COD8</t>
        </is>
      </c>
      <c r="F838" t="inlineStr">
        <is>
          <t>Charles Pickel - Congo DR</t>
        </is>
      </c>
      <c r="G838" t="inlineStr">
        <is>
          <t>Base</t>
        </is>
      </c>
      <c r="I838" t="n">
        <v>0</v>
      </c>
    </row>
    <row r="839">
      <c r="A839">
        <f>CHOOSE(MATCH(Config!$B$2,{"PT";"EN"},0),"Seleção","Team")</f>
        <v/>
      </c>
      <c r="B839" t="inlineStr">
        <is>
          <t>Grupo K</t>
        </is>
      </c>
      <c r="C839" t="inlineStr">
        <is>
          <t>COD</t>
        </is>
      </c>
      <c r="D839" t="inlineStr">
        <is>
          <t>Congo DR</t>
        </is>
      </c>
      <c r="E839" t="inlineStr">
        <is>
          <t>COD9</t>
        </is>
      </c>
      <c r="F839" t="inlineStr">
        <is>
          <t>Ngal'ayel Mukau - Congo DR</t>
        </is>
      </c>
      <c r="G839" t="inlineStr">
        <is>
          <t>Base</t>
        </is>
      </c>
      <c r="I839" t="n">
        <v>0</v>
      </c>
    </row>
    <row r="840">
      <c r="A840">
        <f>CHOOSE(MATCH(Config!$B$2,{"PT";"EN"},0),"Seleção","Team")</f>
        <v/>
      </c>
      <c r="B840" t="inlineStr">
        <is>
          <t>Grupo K</t>
        </is>
      </c>
      <c r="C840" t="inlineStr">
        <is>
          <t>COD</t>
        </is>
      </c>
      <c r="D840" t="inlineStr">
        <is>
          <t>Congo DR</t>
        </is>
      </c>
      <c r="E840" t="inlineStr">
        <is>
          <t>COD10</t>
        </is>
      </c>
      <c r="F840" t="inlineStr">
        <is>
          <t>Edo Kayembe - Congo DR</t>
        </is>
      </c>
      <c r="G840" t="inlineStr">
        <is>
          <t>Base</t>
        </is>
      </c>
      <c r="I840" t="n">
        <v>0</v>
      </c>
    </row>
    <row r="841">
      <c r="A841">
        <f>CHOOSE(MATCH(Config!$B$2,{"PT";"EN"},0),"Seleção","Team")</f>
        <v/>
      </c>
      <c r="B841" t="inlineStr">
        <is>
          <t>Grupo K</t>
        </is>
      </c>
      <c r="C841" t="inlineStr">
        <is>
          <t>COD</t>
        </is>
      </c>
      <c r="D841" t="inlineStr">
        <is>
          <t>Congo DR</t>
        </is>
      </c>
      <c r="E841" t="inlineStr">
        <is>
          <t>COD11</t>
        </is>
      </c>
      <c r="F841" t="inlineStr">
        <is>
          <t>Samuel Moutoussamy - Congo DR</t>
        </is>
      </c>
      <c r="G841" t="inlineStr">
        <is>
          <t>Base</t>
        </is>
      </c>
      <c r="I841" t="n">
        <v>0</v>
      </c>
    </row>
    <row r="842">
      <c r="A842">
        <f>CHOOSE(MATCH(Config!$B$2,{"PT";"EN"},0),"Seleção","Team")</f>
        <v/>
      </c>
      <c r="B842" t="inlineStr">
        <is>
          <t>Grupo K</t>
        </is>
      </c>
      <c r="C842" t="inlineStr">
        <is>
          <t>COD</t>
        </is>
      </c>
      <c r="D842" t="inlineStr">
        <is>
          <t>Congo DR</t>
        </is>
      </c>
      <c r="E842" t="inlineStr">
        <is>
          <t>COD12</t>
        </is>
      </c>
      <c r="F842" t="inlineStr">
        <is>
          <t>Noah Sadiki - Congo DR</t>
        </is>
      </c>
      <c r="G842" t="inlineStr">
        <is>
          <t>Base</t>
        </is>
      </c>
      <c r="I842" t="n">
        <v>0</v>
      </c>
    </row>
    <row r="843">
      <c r="A843">
        <f>CHOOSE(MATCH(Config!$B$2,{"PT";"EN"},0),"Seleção","Team")</f>
        <v/>
      </c>
      <c r="B843" t="inlineStr">
        <is>
          <t>Grupo K</t>
        </is>
      </c>
      <c r="C843" t="inlineStr">
        <is>
          <t>COD</t>
        </is>
      </c>
      <c r="D843" t="inlineStr">
        <is>
          <t>Congo DR</t>
        </is>
      </c>
      <c r="E843" t="inlineStr">
        <is>
          <t>COD13</t>
        </is>
      </c>
      <c r="F843" t="inlineStr">
        <is>
          <t>Team Photo - Congo DR</t>
        </is>
      </c>
      <c r="G843" t="inlineStr">
        <is>
          <t>Base</t>
        </is>
      </c>
      <c r="I843" t="n">
        <v>0</v>
      </c>
    </row>
    <row r="844">
      <c r="A844">
        <f>CHOOSE(MATCH(Config!$B$2,{"PT";"EN"},0),"Seleção","Team")</f>
        <v/>
      </c>
      <c r="B844" t="inlineStr">
        <is>
          <t>Grupo K</t>
        </is>
      </c>
      <c r="C844" t="inlineStr">
        <is>
          <t>COD</t>
        </is>
      </c>
      <c r="D844" t="inlineStr">
        <is>
          <t>Congo DR</t>
        </is>
      </c>
      <c r="E844" t="inlineStr">
        <is>
          <t>COD14</t>
        </is>
      </c>
      <c r="F844" t="inlineStr">
        <is>
          <t>Théo Bongonda - Congo DR</t>
        </is>
      </c>
      <c r="G844" t="inlineStr">
        <is>
          <t>Base</t>
        </is>
      </c>
      <c r="I844" t="n">
        <v>0</v>
      </c>
    </row>
    <row r="845">
      <c r="A845">
        <f>CHOOSE(MATCH(Config!$B$2,{"PT";"EN"},0),"Seleção","Team")</f>
        <v/>
      </c>
      <c r="B845" t="inlineStr">
        <is>
          <t>Grupo K</t>
        </is>
      </c>
      <c r="C845" t="inlineStr">
        <is>
          <t>COD</t>
        </is>
      </c>
      <c r="D845" t="inlineStr">
        <is>
          <t>Congo DR</t>
        </is>
      </c>
      <c r="E845" t="inlineStr">
        <is>
          <t>COD15</t>
        </is>
      </c>
      <c r="F845" t="inlineStr">
        <is>
          <t>Meschak Elia - Congo DR</t>
        </is>
      </c>
      <c r="G845" t="inlineStr">
        <is>
          <t>Base</t>
        </is>
      </c>
      <c r="I845" t="n">
        <v>0</v>
      </c>
    </row>
    <row r="846">
      <c r="A846">
        <f>CHOOSE(MATCH(Config!$B$2,{"PT";"EN"},0),"Seleção","Team")</f>
        <v/>
      </c>
      <c r="B846" t="inlineStr">
        <is>
          <t>Grupo K</t>
        </is>
      </c>
      <c r="C846" t="inlineStr">
        <is>
          <t>COD</t>
        </is>
      </c>
      <c r="D846" t="inlineStr">
        <is>
          <t>Congo DR</t>
        </is>
      </c>
      <c r="E846" t="inlineStr">
        <is>
          <t>COD16</t>
        </is>
      </c>
      <c r="F846" t="inlineStr">
        <is>
          <t>Yoane Wissa - Congo DR</t>
        </is>
      </c>
      <c r="G846" t="inlineStr">
        <is>
          <t>Base</t>
        </is>
      </c>
      <c r="I846" t="n">
        <v>0</v>
      </c>
    </row>
    <row r="847">
      <c r="A847">
        <f>CHOOSE(MATCH(Config!$B$2,{"PT";"EN"},0),"Seleção","Team")</f>
        <v/>
      </c>
      <c r="B847" t="inlineStr">
        <is>
          <t>Grupo K</t>
        </is>
      </c>
      <c r="C847" t="inlineStr">
        <is>
          <t>COD</t>
        </is>
      </c>
      <c r="D847" t="inlineStr">
        <is>
          <t>Congo DR</t>
        </is>
      </c>
      <c r="E847" t="inlineStr">
        <is>
          <t>COD17</t>
        </is>
      </c>
      <c r="F847" t="inlineStr">
        <is>
          <t>Brian Cipenga - Congo DR</t>
        </is>
      </c>
      <c r="G847" t="inlineStr">
        <is>
          <t>Base</t>
        </is>
      </c>
      <c r="I847" t="n">
        <v>0</v>
      </c>
    </row>
    <row r="848">
      <c r="A848">
        <f>CHOOSE(MATCH(Config!$B$2,{"PT";"EN"},0),"Seleção","Team")</f>
        <v/>
      </c>
      <c r="B848" t="inlineStr">
        <is>
          <t>Grupo K</t>
        </is>
      </c>
      <c r="C848" t="inlineStr">
        <is>
          <t>COD</t>
        </is>
      </c>
      <c r="D848" t="inlineStr">
        <is>
          <t>Congo DR</t>
        </is>
      </c>
      <c r="E848" t="inlineStr">
        <is>
          <t>COD18</t>
        </is>
      </c>
      <c r="F848" t="inlineStr">
        <is>
          <t>Fiston Mayele - Congo DR</t>
        </is>
      </c>
      <c r="G848" t="inlineStr">
        <is>
          <t>Base</t>
        </is>
      </c>
      <c r="I848" t="n">
        <v>0</v>
      </c>
    </row>
    <row r="849">
      <c r="A849">
        <f>CHOOSE(MATCH(Config!$B$2,{"PT";"EN"},0),"Seleção","Team")</f>
        <v/>
      </c>
      <c r="B849" t="inlineStr">
        <is>
          <t>Grupo K</t>
        </is>
      </c>
      <c r="C849" t="inlineStr">
        <is>
          <t>COD</t>
        </is>
      </c>
      <c r="D849" t="inlineStr">
        <is>
          <t>Congo DR</t>
        </is>
      </c>
      <c r="E849" t="inlineStr">
        <is>
          <t>COD19</t>
        </is>
      </c>
      <c r="F849" t="inlineStr">
        <is>
          <t>Cédric Bakambu - Congo DR</t>
        </is>
      </c>
      <c r="G849" t="inlineStr">
        <is>
          <t>Base</t>
        </is>
      </c>
      <c r="I849" t="n">
        <v>0</v>
      </c>
    </row>
    <row r="850">
      <c r="A850">
        <f>CHOOSE(MATCH(Config!$B$2,{"PT";"EN"},0),"Seleção","Team")</f>
        <v/>
      </c>
      <c r="B850" t="inlineStr">
        <is>
          <t>Grupo K</t>
        </is>
      </c>
      <c r="C850" t="inlineStr">
        <is>
          <t>COD</t>
        </is>
      </c>
      <c r="D850" t="inlineStr">
        <is>
          <t>Congo DR</t>
        </is>
      </c>
      <c r="E850" t="inlineStr">
        <is>
          <t>COD20</t>
        </is>
      </c>
      <c r="F850" t="inlineStr">
        <is>
          <t>Nathanaël Mbuku - Congo DR</t>
        </is>
      </c>
      <c r="G850" t="inlineStr">
        <is>
          <t>Base</t>
        </is>
      </c>
      <c r="I850" t="n">
        <v>0</v>
      </c>
    </row>
    <row r="851">
      <c r="A851">
        <f>CHOOSE(MATCH(Config!$B$2,{"PT";"EN"},0),"Seleção","Team")</f>
        <v/>
      </c>
      <c r="B851" t="inlineStr">
        <is>
          <t>Grupo K</t>
        </is>
      </c>
      <c r="C851" t="inlineStr">
        <is>
          <t>UZB</t>
        </is>
      </c>
      <c r="D851" t="inlineStr">
        <is>
          <t>Uzbekistan</t>
        </is>
      </c>
      <c r="E851" t="inlineStr">
        <is>
          <t>UZB1</t>
        </is>
      </c>
      <c r="F851" t="inlineStr">
        <is>
          <t>Team Logo - Uzbekistan FOIL</t>
        </is>
      </c>
      <c r="G851" t="inlineStr">
        <is>
          <t>FOIL</t>
        </is>
      </c>
      <c r="I851" t="n">
        <v>0</v>
      </c>
    </row>
    <row r="852">
      <c r="A852">
        <f>CHOOSE(MATCH(Config!$B$2,{"PT";"EN"},0),"Seleção","Team")</f>
        <v/>
      </c>
      <c r="B852" t="inlineStr">
        <is>
          <t>Grupo K</t>
        </is>
      </c>
      <c r="C852" t="inlineStr">
        <is>
          <t>UZB</t>
        </is>
      </c>
      <c r="D852" t="inlineStr">
        <is>
          <t>Uzbekistan</t>
        </is>
      </c>
      <c r="E852" t="inlineStr">
        <is>
          <t>UZB2</t>
        </is>
      </c>
      <c r="F852" t="inlineStr">
        <is>
          <t>Utkir Yusupov - Uzbekistan</t>
        </is>
      </c>
      <c r="G852" t="inlineStr">
        <is>
          <t>Base</t>
        </is>
      </c>
      <c r="I852" t="n">
        <v>0</v>
      </c>
    </row>
    <row r="853">
      <c r="A853">
        <f>CHOOSE(MATCH(Config!$B$2,{"PT";"EN"},0),"Seleção","Team")</f>
        <v/>
      </c>
      <c r="B853" t="inlineStr">
        <is>
          <t>Grupo K</t>
        </is>
      </c>
      <c r="C853" t="inlineStr">
        <is>
          <t>UZB</t>
        </is>
      </c>
      <c r="D853" t="inlineStr">
        <is>
          <t>Uzbekistan</t>
        </is>
      </c>
      <c r="E853" t="inlineStr">
        <is>
          <t>UZB3</t>
        </is>
      </c>
      <c r="F853" t="inlineStr">
        <is>
          <t>Farrukh Savfiev - Uzbekistan</t>
        </is>
      </c>
      <c r="G853" t="inlineStr">
        <is>
          <t>Base</t>
        </is>
      </c>
      <c r="I853" t="n">
        <v>0</v>
      </c>
    </row>
    <row r="854">
      <c r="A854">
        <f>CHOOSE(MATCH(Config!$B$2,{"PT";"EN"},0),"Seleção","Team")</f>
        <v/>
      </c>
      <c r="B854" t="inlineStr">
        <is>
          <t>Grupo K</t>
        </is>
      </c>
      <c r="C854" t="inlineStr">
        <is>
          <t>UZB</t>
        </is>
      </c>
      <c r="D854" t="inlineStr">
        <is>
          <t>Uzbekistan</t>
        </is>
      </c>
      <c r="E854" t="inlineStr">
        <is>
          <t>UZB4</t>
        </is>
      </c>
      <c r="F854" t="inlineStr">
        <is>
          <t>Sherzod Nasrullaev - Uzbekistan</t>
        </is>
      </c>
      <c r="G854" t="inlineStr">
        <is>
          <t>Base</t>
        </is>
      </c>
      <c r="I854" t="n">
        <v>0</v>
      </c>
    </row>
    <row r="855">
      <c r="A855">
        <f>CHOOSE(MATCH(Config!$B$2,{"PT";"EN"},0),"Seleção","Team")</f>
        <v/>
      </c>
      <c r="B855" t="inlineStr">
        <is>
          <t>Grupo K</t>
        </is>
      </c>
      <c r="C855" t="inlineStr">
        <is>
          <t>UZB</t>
        </is>
      </c>
      <c r="D855" t="inlineStr">
        <is>
          <t>Uzbekistan</t>
        </is>
      </c>
      <c r="E855" t="inlineStr">
        <is>
          <t>UZB5</t>
        </is>
      </c>
      <c r="F855" t="inlineStr">
        <is>
          <t>Umar Eshmurodov - Uzbekistan</t>
        </is>
      </c>
      <c r="G855" t="inlineStr">
        <is>
          <t>Base</t>
        </is>
      </c>
      <c r="I855" t="n">
        <v>0</v>
      </c>
    </row>
    <row r="856">
      <c r="A856">
        <f>CHOOSE(MATCH(Config!$B$2,{"PT";"EN"},0),"Seleção","Team")</f>
        <v/>
      </c>
      <c r="B856" t="inlineStr">
        <is>
          <t>Grupo K</t>
        </is>
      </c>
      <c r="C856" t="inlineStr">
        <is>
          <t>UZB</t>
        </is>
      </c>
      <c r="D856" t="inlineStr">
        <is>
          <t>Uzbekistan</t>
        </is>
      </c>
      <c r="E856" t="inlineStr">
        <is>
          <t>UZB6</t>
        </is>
      </c>
      <c r="F856" t="inlineStr">
        <is>
          <t>Husniddin Aliqulov - Uzbekistan</t>
        </is>
      </c>
      <c r="G856" t="inlineStr">
        <is>
          <t>Base</t>
        </is>
      </c>
      <c r="I856" t="n">
        <v>0</v>
      </c>
    </row>
    <row r="857">
      <c r="A857">
        <f>CHOOSE(MATCH(Config!$B$2,{"PT";"EN"},0),"Seleção","Team")</f>
        <v/>
      </c>
      <c r="B857" t="inlineStr">
        <is>
          <t>Grupo K</t>
        </is>
      </c>
      <c r="C857" t="inlineStr">
        <is>
          <t>UZB</t>
        </is>
      </c>
      <c r="D857" t="inlineStr">
        <is>
          <t>Uzbekistan</t>
        </is>
      </c>
      <c r="E857" t="inlineStr">
        <is>
          <t>UZB7</t>
        </is>
      </c>
      <c r="F857" t="inlineStr">
        <is>
          <t>Rustamjon Ashurmatov - Uzbekistan</t>
        </is>
      </c>
      <c r="G857" t="inlineStr">
        <is>
          <t>Base</t>
        </is>
      </c>
      <c r="I857" t="n">
        <v>0</v>
      </c>
    </row>
    <row r="858">
      <c r="A858">
        <f>CHOOSE(MATCH(Config!$B$2,{"PT";"EN"},0),"Seleção","Team")</f>
        <v/>
      </c>
      <c r="B858" t="inlineStr">
        <is>
          <t>Grupo K</t>
        </is>
      </c>
      <c r="C858" t="inlineStr">
        <is>
          <t>UZB</t>
        </is>
      </c>
      <c r="D858" t="inlineStr">
        <is>
          <t>Uzbekistan</t>
        </is>
      </c>
      <c r="E858" t="inlineStr">
        <is>
          <t>UZB8</t>
        </is>
      </c>
      <c r="F858" t="inlineStr">
        <is>
          <t>Khojiakbar Alijonov - Uzbekistan</t>
        </is>
      </c>
      <c r="G858" t="inlineStr">
        <is>
          <t>Base</t>
        </is>
      </c>
      <c r="I858" t="n">
        <v>0</v>
      </c>
    </row>
    <row r="859">
      <c r="A859">
        <f>CHOOSE(MATCH(Config!$B$2,{"PT";"EN"},0),"Seleção","Team")</f>
        <v/>
      </c>
      <c r="B859" t="inlineStr">
        <is>
          <t>Grupo K</t>
        </is>
      </c>
      <c r="C859" t="inlineStr">
        <is>
          <t>UZB</t>
        </is>
      </c>
      <c r="D859" t="inlineStr">
        <is>
          <t>Uzbekistan</t>
        </is>
      </c>
      <c r="E859" t="inlineStr">
        <is>
          <t>UZB9</t>
        </is>
      </c>
      <c r="F859" t="inlineStr">
        <is>
          <t>Abdukodir Khusanov - Uzbekistan</t>
        </is>
      </c>
      <c r="G859" t="inlineStr">
        <is>
          <t>Base</t>
        </is>
      </c>
      <c r="I859" t="n">
        <v>0</v>
      </c>
    </row>
    <row r="860">
      <c r="A860">
        <f>CHOOSE(MATCH(Config!$B$2,{"PT";"EN"},0),"Seleção","Team")</f>
        <v/>
      </c>
      <c r="B860" t="inlineStr">
        <is>
          <t>Grupo K</t>
        </is>
      </c>
      <c r="C860" t="inlineStr">
        <is>
          <t>UZB</t>
        </is>
      </c>
      <c r="D860" t="inlineStr">
        <is>
          <t>Uzbekistan</t>
        </is>
      </c>
      <c r="E860" t="inlineStr">
        <is>
          <t>UZB10</t>
        </is>
      </c>
      <c r="F860" t="inlineStr">
        <is>
          <t>Odiljon Hamrobekov - Uzbekistan</t>
        </is>
      </c>
      <c r="G860" t="inlineStr">
        <is>
          <t>Base</t>
        </is>
      </c>
      <c r="I860" t="n">
        <v>0</v>
      </c>
    </row>
    <row r="861">
      <c r="A861">
        <f>CHOOSE(MATCH(Config!$B$2,{"PT";"EN"},0),"Seleção","Team")</f>
        <v/>
      </c>
      <c r="B861" t="inlineStr">
        <is>
          <t>Grupo K</t>
        </is>
      </c>
      <c r="C861" t="inlineStr">
        <is>
          <t>UZB</t>
        </is>
      </c>
      <c r="D861" t="inlineStr">
        <is>
          <t>Uzbekistan</t>
        </is>
      </c>
      <c r="E861" t="inlineStr">
        <is>
          <t>UZB11</t>
        </is>
      </c>
      <c r="F861" t="inlineStr">
        <is>
          <t>Otabek Shukurov - Uzbekistan</t>
        </is>
      </c>
      <c r="G861" t="inlineStr">
        <is>
          <t>Base</t>
        </is>
      </c>
      <c r="I861" t="n">
        <v>0</v>
      </c>
    </row>
    <row r="862">
      <c r="A862">
        <f>CHOOSE(MATCH(Config!$B$2,{"PT";"EN"},0),"Seleção","Team")</f>
        <v/>
      </c>
      <c r="B862" t="inlineStr">
        <is>
          <t>Grupo K</t>
        </is>
      </c>
      <c r="C862" t="inlineStr">
        <is>
          <t>UZB</t>
        </is>
      </c>
      <c r="D862" t="inlineStr">
        <is>
          <t>Uzbekistan</t>
        </is>
      </c>
      <c r="E862" t="inlineStr">
        <is>
          <t>UZB12</t>
        </is>
      </c>
      <c r="F862" t="inlineStr">
        <is>
          <t>Jamshid Iskanderov - Uzbekistan</t>
        </is>
      </c>
      <c r="G862" t="inlineStr">
        <is>
          <t>Base</t>
        </is>
      </c>
      <c r="I862" t="n">
        <v>0</v>
      </c>
    </row>
    <row r="863">
      <c r="A863">
        <f>CHOOSE(MATCH(Config!$B$2,{"PT";"EN"},0),"Seleção","Team")</f>
        <v/>
      </c>
      <c r="B863" t="inlineStr">
        <is>
          <t>Grupo K</t>
        </is>
      </c>
      <c r="C863" t="inlineStr">
        <is>
          <t>UZB</t>
        </is>
      </c>
      <c r="D863" t="inlineStr">
        <is>
          <t>Uzbekistan</t>
        </is>
      </c>
      <c r="E863" t="inlineStr">
        <is>
          <t>UZB13</t>
        </is>
      </c>
      <c r="F863" t="inlineStr">
        <is>
          <t>Team Photo - Uzbekistan</t>
        </is>
      </c>
      <c r="G863" t="inlineStr">
        <is>
          <t>Base</t>
        </is>
      </c>
      <c r="I863" t="n">
        <v>0</v>
      </c>
    </row>
    <row r="864">
      <c r="A864">
        <f>CHOOSE(MATCH(Config!$B$2,{"PT";"EN"},0),"Seleção","Team")</f>
        <v/>
      </c>
      <c r="B864" t="inlineStr">
        <is>
          <t>Grupo K</t>
        </is>
      </c>
      <c r="C864" t="inlineStr">
        <is>
          <t>UZB</t>
        </is>
      </c>
      <c r="D864" t="inlineStr">
        <is>
          <t>Uzbekistan</t>
        </is>
      </c>
      <c r="E864" t="inlineStr">
        <is>
          <t>UZB14</t>
        </is>
      </c>
      <c r="F864" t="inlineStr">
        <is>
          <t>Azizbek Turgunboev - Uzbekistan</t>
        </is>
      </c>
      <c r="G864" t="inlineStr">
        <is>
          <t>Base</t>
        </is>
      </c>
      <c r="I864" t="n">
        <v>0</v>
      </c>
    </row>
    <row r="865">
      <c r="A865">
        <f>CHOOSE(MATCH(Config!$B$2,{"PT";"EN"},0),"Seleção","Team")</f>
        <v/>
      </c>
      <c r="B865" t="inlineStr">
        <is>
          <t>Grupo K</t>
        </is>
      </c>
      <c r="C865" t="inlineStr">
        <is>
          <t>UZB</t>
        </is>
      </c>
      <c r="D865" t="inlineStr">
        <is>
          <t>Uzbekistan</t>
        </is>
      </c>
      <c r="E865" t="inlineStr">
        <is>
          <t>UZB15</t>
        </is>
      </c>
      <c r="F865" t="inlineStr">
        <is>
          <t>Khojimat Erkinov - Uzbekistan</t>
        </is>
      </c>
      <c r="G865" t="inlineStr">
        <is>
          <t>Base</t>
        </is>
      </c>
      <c r="I865" t="n">
        <v>0</v>
      </c>
    </row>
    <row r="866">
      <c r="A866">
        <f>CHOOSE(MATCH(Config!$B$2,{"PT";"EN"},0),"Seleção","Team")</f>
        <v/>
      </c>
      <c r="B866" t="inlineStr">
        <is>
          <t>Grupo K</t>
        </is>
      </c>
      <c r="C866" t="inlineStr">
        <is>
          <t>UZB</t>
        </is>
      </c>
      <c r="D866" t="inlineStr">
        <is>
          <t>Uzbekistan</t>
        </is>
      </c>
      <c r="E866" t="inlineStr">
        <is>
          <t>UZB16</t>
        </is>
      </c>
      <c r="F866" t="inlineStr">
        <is>
          <t>Eldor Shomurodov - Uzbekistan</t>
        </is>
      </c>
      <c r="G866" t="inlineStr">
        <is>
          <t>Base</t>
        </is>
      </c>
      <c r="I866" t="n">
        <v>0</v>
      </c>
    </row>
    <row r="867">
      <c r="A867">
        <f>CHOOSE(MATCH(Config!$B$2,{"PT";"EN"},0),"Seleção","Team")</f>
        <v/>
      </c>
      <c r="B867" t="inlineStr">
        <is>
          <t>Grupo K</t>
        </is>
      </c>
      <c r="C867" t="inlineStr">
        <is>
          <t>UZB</t>
        </is>
      </c>
      <c r="D867" t="inlineStr">
        <is>
          <t>Uzbekistan</t>
        </is>
      </c>
      <c r="E867" t="inlineStr">
        <is>
          <t>UZB17</t>
        </is>
      </c>
      <c r="F867" t="inlineStr">
        <is>
          <t>Oston Urunov - Uzbekistan</t>
        </is>
      </c>
      <c r="G867" t="inlineStr">
        <is>
          <t>Base</t>
        </is>
      </c>
      <c r="I867" t="n">
        <v>0</v>
      </c>
    </row>
    <row r="868">
      <c r="A868">
        <f>CHOOSE(MATCH(Config!$B$2,{"PT";"EN"},0),"Seleção","Team")</f>
        <v/>
      </c>
      <c r="B868" t="inlineStr">
        <is>
          <t>Grupo K</t>
        </is>
      </c>
      <c r="C868" t="inlineStr">
        <is>
          <t>UZB</t>
        </is>
      </c>
      <c r="D868" t="inlineStr">
        <is>
          <t>Uzbekistan</t>
        </is>
      </c>
      <c r="E868" t="inlineStr">
        <is>
          <t>UZB18</t>
        </is>
      </c>
      <c r="F868" t="inlineStr">
        <is>
          <t>Jaloliddin Masharipov - Uzbekistan</t>
        </is>
      </c>
      <c r="G868" t="inlineStr">
        <is>
          <t>Base</t>
        </is>
      </c>
      <c r="I868" t="n">
        <v>0</v>
      </c>
    </row>
    <row r="869">
      <c r="A869">
        <f>CHOOSE(MATCH(Config!$B$2,{"PT";"EN"},0),"Seleção","Team")</f>
        <v/>
      </c>
      <c r="B869" t="inlineStr">
        <is>
          <t>Grupo K</t>
        </is>
      </c>
      <c r="C869" t="inlineStr">
        <is>
          <t>UZB</t>
        </is>
      </c>
      <c r="D869" t="inlineStr">
        <is>
          <t>Uzbekistan</t>
        </is>
      </c>
      <c r="E869" t="inlineStr">
        <is>
          <t>UZB19</t>
        </is>
      </c>
      <c r="F869" t="inlineStr">
        <is>
          <t>Igor Sergeev - Uzbekistan</t>
        </is>
      </c>
      <c r="G869" t="inlineStr">
        <is>
          <t>Base</t>
        </is>
      </c>
      <c r="I869" t="n">
        <v>0</v>
      </c>
    </row>
    <row r="870">
      <c r="A870">
        <f>CHOOSE(MATCH(Config!$B$2,{"PT";"EN"},0),"Seleção","Team")</f>
        <v/>
      </c>
      <c r="B870" t="inlineStr">
        <is>
          <t>Grupo K</t>
        </is>
      </c>
      <c r="C870" t="inlineStr">
        <is>
          <t>UZB</t>
        </is>
      </c>
      <c r="D870" t="inlineStr">
        <is>
          <t>Uzbekistan</t>
        </is>
      </c>
      <c r="E870" t="inlineStr">
        <is>
          <t>UZB20</t>
        </is>
      </c>
      <c r="F870" t="inlineStr">
        <is>
          <t>Abbosbek Fayzullaev - Uzbekistan</t>
        </is>
      </c>
      <c r="G870" t="inlineStr">
        <is>
          <t>Base</t>
        </is>
      </c>
      <c r="I870" t="n">
        <v>0</v>
      </c>
    </row>
    <row r="871">
      <c r="A871">
        <f>CHOOSE(MATCH(Config!$B$2,{"PT";"EN"},0),"Seleção","Team")</f>
        <v/>
      </c>
      <c r="B871" t="inlineStr">
        <is>
          <t>Grupo K</t>
        </is>
      </c>
      <c r="C871" t="inlineStr">
        <is>
          <t>COL</t>
        </is>
      </c>
      <c r="D871" t="inlineStr">
        <is>
          <t>Colombia</t>
        </is>
      </c>
      <c r="E871" t="inlineStr">
        <is>
          <t>COL1</t>
        </is>
      </c>
      <c r="F871" t="inlineStr">
        <is>
          <t>Team Logo - Colombia FOIL</t>
        </is>
      </c>
      <c r="G871" t="inlineStr">
        <is>
          <t>FOIL</t>
        </is>
      </c>
      <c r="I871" t="n">
        <v>0</v>
      </c>
    </row>
    <row r="872">
      <c r="A872">
        <f>CHOOSE(MATCH(Config!$B$2,{"PT";"EN"},0),"Seleção","Team")</f>
        <v/>
      </c>
      <c r="B872" t="inlineStr">
        <is>
          <t>Grupo K</t>
        </is>
      </c>
      <c r="C872" t="inlineStr">
        <is>
          <t>COL</t>
        </is>
      </c>
      <c r="D872" t="inlineStr">
        <is>
          <t>Colombia</t>
        </is>
      </c>
      <c r="E872" t="inlineStr">
        <is>
          <t>COL2</t>
        </is>
      </c>
      <c r="F872" t="inlineStr">
        <is>
          <t>Camilo Vargas - Colombia</t>
        </is>
      </c>
      <c r="G872" t="inlineStr">
        <is>
          <t>Base</t>
        </is>
      </c>
      <c r="I872" t="n">
        <v>0</v>
      </c>
    </row>
    <row r="873">
      <c r="A873">
        <f>CHOOSE(MATCH(Config!$B$2,{"PT";"EN"},0),"Seleção","Team")</f>
        <v/>
      </c>
      <c r="B873" t="inlineStr">
        <is>
          <t>Grupo K</t>
        </is>
      </c>
      <c r="C873" t="inlineStr">
        <is>
          <t>COL</t>
        </is>
      </c>
      <c r="D873" t="inlineStr">
        <is>
          <t>Colombia</t>
        </is>
      </c>
      <c r="E873" t="inlineStr">
        <is>
          <t>COL3</t>
        </is>
      </c>
      <c r="F873" t="inlineStr">
        <is>
          <t>David Ospina - Colombia</t>
        </is>
      </c>
      <c r="G873" t="inlineStr">
        <is>
          <t>Base</t>
        </is>
      </c>
      <c r="I873" t="n">
        <v>0</v>
      </c>
    </row>
    <row r="874">
      <c r="A874">
        <f>CHOOSE(MATCH(Config!$B$2,{"PT";"EN"},0),"Seleção","Team")</f>
        <v/>
      </c>
      <c r="B874" t="inlineStr">
        <is>
          <t>Grupo K</t>
        </is>
      </c>
      <c r="C874" t="inlineStr">
        <is>
          <t>COL</t>
        </is>
      </c>
      <c r="D874" t="inlineStr">
        <is>
          <t>Colombia</t>
        </is>
      </c>
      <c r="E874" t="inlineStr">
        <is>
          <t>COL4</t>
        </is>
      </c>
      <c r="F874" t="inlineStr">
        <is>
          <t>Dávinson Sánchez - Colombia</t>
        </is>
      </c>
      <c r="G874" t="inlineStr">
        <is>
          <t>Base</t>
        </is>
      </c>
      <c r="I874" t="n">
        <v>0</v>
      </c>
    </row>
    <row r="875">
      <c r="A875">
        <f>CHOOSE(MATCH(Config!$B$2,{"PT";"EN"},0),"Seleção","Team")</f>
        <v/>
      </c>
      <c r="B875" t="inlineStr">
        <is>
          <t>Grupo K</t>
        </is>
      </c>
      <c r="C875" t="inlineStr">
        <is>
          <t>COL</t>
        </is>
      </c>
      <c r="D875" t="inlineStr">
        <is>
          <t>Colombia</t>
        </is>
      </c>
      <c r="E875" t="inlineStr">
        <is>
          <t>COL5</t>
        </is>
      </c>
      <c r="F875" t="inlineStr">
        <is>
          <t>Yerry Mina - Colombia</t>
        </is>
      </c>
      <c r="G875" t="inlineStr">
        <is>
          <t>Base</t>
        </is>
      </c>
      <c r="I875" t="n">
        <v>0</v>
      </c>
    </row>
    <row r="876">
      <c r="A876">
        <f>CHOOSE(MATCH(Config!$B$2,{"PT";"EN"},0),"Seleção","Team")</f>
        <v/>
      </c>
      <c r="B876" t="inlineStr">
        <is>
          <t>Grupo K</t>
        </is>
      </c>
      <c r="C876" t="inlineStr">
        <is>
          <t>COL</t>
        </is>
      </c>
      <c r="D876" t="inlineStr">
        <is>
          <t>Colombia</t>
        </is>
      </c>
      <c r="E876" t="inlineStr">
        <is>
          <t>COL6</t>
        </is>
      </c>
      <c r="F876" t="inlineStr">
        <is>
          <t>Daniel Munoz - Colombia</t>
        </is>
      </c>
      <c r="G876" t="inlineStr">
        <is>
          <t>Base</t>
        </is>
      </c>
      <c r="I876" t="n">
        <v>0</v>
      </c>
    </row>
    <row r="877">
      <c r="A877">
        <f>CHOOSE(MATCH(Config!$B$2,{"PT";"EN"},0),"Seleção","Team")</f>
        <v/>
      </c>
      <c r="B877" t="inlineStr">
        <is>
          <t>Grupo K</t>
        </is>
      </c>
      <c r="C877" t="inlineStr">
        <is>
          <t>COL</t>
        </is>
      </c>
      <c r="D877" t="inlineStr">
        <is>
          <t>Colombia</t>
        </is>
      </c>
      <c r="E877" t="inlineStr">
        <is>
          <t>COL7</t>
        </is>
      </c>
      <c r="F877" t="inlineStr">
        <is>
          <t>Johan Mojica - Colombia</t>
        </is>
      </c>
      <c r="G877" t="inlineStr">
        <is>
          <t>Base</t>
        </is>
      </c>
      <c r="I877" t="n">
        <v>0</v>
      </c>
    </row>
    <row r="878">
      <c r="A878">
        <f>CHOOSE(MATCH(Config!$B$2,{"PT";"EN"},0),"Seleção","Team")</f>
        <v/>
      </c>
      <c r="B878" t="inlineStr">
        <is>
          <t>Grupo K</t>
        </is>
      </c>
      <c r="C878" t="inlineStr">
        <is>
          <t>COL</t>
        </is>
      </c>
      <c r="D878" t="inlineStr">
        <is>
          <t>Colombia</t>
        </is>
      </c>
      <c r="E878" t="inlineStr">
        <is>
          <t>COL8</t>
        </is>
      </c>
      <c r="F878" t="inlineStr">
        <is>
          <t>Jhon Lucumí - Colombia</t>
        </is>
      </c>
      <c r="G878" t="inlineStr">
        <is>
          <t>Base</t>
        </is>
      </c>
      <c r="I878" t="n">
        <v>0</v>
      </c>
    </row>
    <row r="879">
      <c r="A879">
        <f>CHOOSE(MATCH(Config!$B$2,{"PT";"EN"},0),"Seleção","Team")</f>
        <v/>
      </c>
      <c r="B879" t="inlineStr">
        <is>
          <t>Grupo K</t>
        </is>
      </c>
      <c r="C879" t="inlineStr">
        <is>
          <t>COL</t>
        </is>
      </c>
      <c r="D879" t="inlineStr">
        <is>
          <t>Colombia</t>
        </is>
      </c>
      <c r="E879" t="inlineStr">
        <is>
          <t>COL9</t>
        </is>
      </c>
      <c r="F879" t="inlineStr">
        <is>
          <t>Santiago Arias - Colombia</t>
        </is>
      </c>
      <c r="G879" t="inlineStr">
        <is>
          <t>Base</t>
        </is>
      </c>
      <c r="I879" t="n">
        <v>0</v>
      </c>
    </row>
    <row r="880">
      <c r="A880">
        <f>CHOOSE(MATCH(Config!$B$2,{"PT";"EN"},0),"Seleção","Team")</f>
        <v/>
      </c>
      <c r="B880" t="inlineStr">
        <is>
          <t>Grupo K</t>
        </is>
      </c>
      <c r="C880" t="inlineStr">
        <is>
          <t>COL</t>
        </is>
      </c>
      <c r="D880" t="inlineStr">
        <is>
          <t>Colombia</t>
        </is>
      </c>
      <c r="E880" t="inlineStr">
        <is>
          <t>COL10</t>
        </is>
      </c>
      <c r="F880" t="inlineStr">
        <is>
          <t>Jefferson Lerma - Colombia</t>
        </is>
      </c>
      <c r="G880" t="inlineStr">
        <is>
          <t>Base</t>
        </is>
      </c>
      <c r="I880" t="n">
        <v>0</v>
      </c>
    </row>
    <row r="881">
      <c r="A881">
        <f>CHOOSE(MATCH(Config!$B$2,{"PT";"EN"},0),"Seleção","Team")</f>
        <v/>
      </c>
      <c r="B881" t="inlineStr">
        <is>
          <t>Grupo K</t>
        </is>
      </c>
      <c r="C881" t="inlineStr">
        <is>
          <t>COL</t>
        </is>
      </c>
      <c r="D881" t="inlineStr">
        <is>
          <t>Colombia</t>
        </is>
      </c>
      <c r="E881" t="inlineStr">
        <is>
          <t>COL11</t>
        </is>
      </c>
      <c r="F881" t="inlineStr">
        <is>
          <t>Kevin Castaño - Colombia</t>
        </is>
      </c>
      <c r="G881" t="inlineStr">
        <is>
          <t>Base</t>
        </is>
      </c>
      <c r="I881" t="n">
        <v>0</v>
      </c>
    </row>
    <row r="882">
      <c r="A882">
        <f>CHOOSE(MATCH(Config!$B$2,{"PT";"EN"},0),"Seleção","Team")</f>
        <v/>
      </c>
      <c r="B882" t="inlineStr">
        <is>
          <t>Grupo K</t>
        </is>
      </c>
      <c r="C882" t="inlineStr">
        <is>
          <t>COL</t>
        </is>
      </c>
      <c r="D882" t="inlineStr">
        <is>
          <t>Colombia</t>
        </is>
      </c>
      <c r="E882" t="inlineStr">
        <is>
          <t>COL12</t>
        </is>
      </c>
      <c r="F882" t="inlineStr">
        <is>
          <t>Richard Rios - Colombia</t>
        </is>
      </c>
      <c r="G882" t="inlineStr">
        <is>
          <t>Base</t>
        </is>
      </c>
      <c r="I882" t="n">
        <v>0</v>
      </c>
    </row>
    <row r="883">
      <c r="A883">
        <f>CHOOSE(MATCH(Config!$B$2,{"PT";"EN"},0),"Seleção","Team")</f>
        <v/>
      </c>
      <c r="B883" t="inlineStr">
        <is>
          <t>Grupo K</t>
        </is>
      </c>
      <c r="C883" t="inlineStr">
        <is>
          <t>COL</t>
        </is>
      </c>
      <c r="D883" t="inlineStr">
        <is>
          <t>Colombia</t>
        </is>
      </c>
      <c r="E883" t="inlineStr">
        <is>
          <t>COL13</t>
        </is>
      </c>
      <c r="F883" t="inlineStr">
        <is>
          <t>Team Photo - Colombia</t>
        </is>
      </c>
      <c r="G883" t="inlineStr">
        <is>
          <t>Base</t>
        </is>
      </c>
      <c r="I883" t="n">
        <v>0</v>
      </c>
    </row>
    <row r="884">
      <c r="A884">
        <f>CHOOSE(MATCH(Config!$B$2,{"PT";"EN"},0),"Seleção","Team")</f>
        <v/>
      </c>
      <c r="B884" t="inlineStr">
        <is>
          <t>Grupo K</t>
        </is>
      </c>
      <c r="C884" t="inlineStr">
        <is>
          <t>COL</t>
        </is>
      </c>
      <c r="D884" t="inlineStr">
        <is>
          <t>Colombia</t>
        </is>
      </c>
      <c r="E884" t="inlineStr">
        <is>
          <t>COL14</t>
        </is>
      </c>
      <c r="F884" t="inlineStr">
        <is>
          <t>James Rodriguez - Colombia</t>
        </is>
      </c>
      <c r="G884" t="inlineStr">
        <is>
          <t>Base</t>
        </is>
      </c>
      <c r="I884" t="n">
        <v>0</v>
      </c>
    </row>
    <row r="885">
      <c r="A885">
        <f>CHOOSE(MATCH(Config!$B$2,{"PT";"EN"},0),"Seleção","Team")</f>
        <v/>
      </c>
      <c r="B885" t="inlineStr">
        <is>
          <t>Grupo K</t>
        </is>
      </c>
      <c r="C885" t="inlineStr">
        <is>
          <t>COL</t>
        </is>
      </c>
      <c r="D885" t="inlineStr">
        <is>
          <t>Colombia</t>
        </is>
      </c>
      <c r="E885" t="inlineStr">
        <is>
          <t>COL15</t>
        </is>
      </c>
      <c r="F885" t="inlineStr">
        <is>
          <t>Juan Fernando Quintero - Colombia</t>
        </is>
      </c>
      <c r="G885" t="inlineStr">
        <is>
          <t>Base</t>
        </is>
      </c>
      <c r="I885" t="n">
        <v>0</v>
      </c>
    </row>
    <row r="886">
      <c r="A886">
        <f>CHOOSE(MATCH(Config!$B$2,{"PT";"EN"},0),"Seleção","Team")</f>
        <v/>
      </c>
      <c r="B886" t="inlineStr">
        <is>
          <t>Grupo K</t>
        </is>
      </c>
      <c r="C886" t="inlineStr">
        <is>
          <t>COL</t>
        </is>
      </c>
      <c r="D886" t="inlineStr">
        <is>
          <t>Colombia</t>
        </is>
      </c>
      <c r="E886" t="inlineStr">
        <is>
          <t>COL16</t>
        </is>
      </c>
      <c r="F886" t="inlineStr">
        <is>
          <t>Jorge Carrascal - Colombia</t>
        </is>
      </c>
      <c r="G886" t="inlineStr">
        <is>
          <t>Base</t>
        </is>
      </c>
      <c r="I886" t="n">
        <v>0</v>
      </c>
    </row>
    <row r="887">
      <c r="A887">
        <f>CHOOSE(MATCH(Config!$B$2,{"PT";"EN"},0),"Seleção","Team")</f>
        <v/>
      </c>
      <c r="B887" t="inlineStr">
        <is>
          <t>Grupo K</t>
        </is>
      </c>
      <c r="C887" t="inlineStr">
        <is>
          <t>COL</t>
        </is>
      </c>
      <c r="D887" t="inlineStr">
        <is>
          <t>Colombia</t>
        </is>
      </c>
      <c r="E887" t="inlineStr">
        <is>
          <t>COL17</t>
        </is>
      </c>
      <c r="F887" t="inlineStr">
        <is>
          <t>Jon Arias - Colombia</t>
        </is>
      </c>
      <c r="G887" t="inlineStr">
        <is>
          <t>Base</t>
        </is>
      </c>
      <c r="I887" t="n">
        <v>0</v>
      </c>
    </row>
    <row r="888">
      <c r="A888">
        <f>CHOOSE(MATCH(Config!$B$2,{"PT";"EN"},0),"Seleção","Team")</f>
        <v/>
      </c>
      <c r="B888" t="inlineStr">
        <is>
          <t>Grupo K</t>
        </is>
      </c>
      <c r="C888" t="inlineStr">
        <is>
          <t>COL</t>
        </is>
      </c>
      <c r="D888" t="inlineStr">
        <is>
          <t>Colombia</t>
        </is>
      </c>
      <c r="E888" t="inlineStr">
        <is>
          <t>COL18</t>
        </is>
      </c>
      <c r="F888" t="inlineStr">
        <is>
          <t>Jhon Cordova - Colombia</t>
        </is>
      </c>
      <c r="G888" t="inlineStr">
        <is>
          <t>Base</t>
        </is>
      </c>
      <c r="I888" t="n">
        <v>0</v>
      </c>
    </row>
    <row r="889">
      <c r="A889">
        <f>CHOOSE(MATCH(Config!$B$2,{"PT";"EN"},0),"Seleção","Team")</f>
        <v/>
      </c>
      <c r="B889" t="inlineStr">
        <is>
          <t>Grupo K</t>
        </is>
      </c>
      <c r="C889" t="inlineStr">
        <is>
          <t>COL</t>
        </is>
      </c>
      <c r="D889" t="inlineStr">
        <is>
          <t>Colombia</t>
        </is>
      </c>
      <c r="E889" t="inlineStr">
        <is>
          <t>COL19</t>
        </is>
      </c>
      <c r="F889" t="inlineStr">
        <is>
          <t>Luis Suarez - Colombia</t>
        </is>
      </c>
      <c r="G889" t="inlineStr">
        <is>
          <t>Base</t>
        </is>
      </c>
      <c r="I889" t="n">
        <v>0</v>
      </c>
    </row>
    <row r="890">
      <c r="A890">
        <f>CHOOSE(MATCH(Config!$B$2,{"PT";"EN"},0),"Seleção","Team")</f>
        <v/>
      </c>
      <c r="B890" t="inlineStr">
        <is>
          <t>Grupo K</t>
        </is>
      </c>
      <c r="C890" t="inlineStr">
        <is>
          <t>COL</t>
        </is>
      </c>
      <c r="D890" t="inlineStr">
        <is>
          <t>Colombia</t>
        </is>
      </c>
      <c r="E890" t="inlineStr">
        <is>
          <t>COL20</t>
        </is>
      </c>
      <c r="F890" t="inlineStr">
        <is>
          <t>Luis Diaz - Colombia</t>
        </is>
      </c>
      <c r="G890" t="inlineStr">
        <is>
          <t>Base</t>
        </is>
      </c>
      <c r="I890" t="n">
        <v>0</v>
      </c>
    </row>
    <row r="891">
      <c r="A891">
        <f>CHOOSE(MATCH(Config!$B$2,{"PT";"EN"},0),"Seleção","Team")</f>
        <v/>
      </c>
      <c r="B891" t="inlineStr">
        <is>
          <t>Grupo L</t>
        </is>
      </c>
      <c r="C891" t="inlineStr">
        <is>
          <t>ENG</t>
        </is>
      </c>
      <c r="D891" t="inlineStr">
        <is>
          <t>England</t>
        </is>
      </c>
      <c r="E891" t="inlineStr">
        <is>
          <t>ENG1</t>
        </is>
      </c>
      <c r="F891" t="inlineStr">
        <is>
          <t>Team Logo - England FOIL</t>
        </is>
      </c>
      <c r="G891" t="inlineStr">
        <is>
          <t>FOIL</t>
        </is>
      </c>
      <c r="I891" t="n">
        <v>0</v>
      </c>
    </row>
    <row r="892">
      <c r="A892">
        <f>CHOOSE(MATCH(Config!$B$2,{"PT";"EN"},0),"Seleção","Team")</f>
        <v/>
      </c>
      <c r="B892" t="inlineStr">
        <is>
          <t>Grupo L</t>
        </is>
      </c>
      <c r="C892" t="inlineStr">
        <is>
          <t>ENG</t>
        </is>
      </c>
      <c r="D892" t="inlineStr">
        <is>
          <t>England</t>
        </is>
      </c>
      <c r="E892" t="inlineStr">
        <is>
          <t>ENG2</t>
        </is>
      </c>
      <c r="F892" t="inlineStr">
        <is>
          <t>Jordan Pickford - England</t>
        </is>
      </c>
      <c r="G892" t="inlineStr">
        <is>
          <t>Base</t>
        </is>
      </c>
      <c r="I892" t="n">
        <v>0</v>
      </c>
    </row>
    <row r="893">
      <c r="A893">
        <f>CHOOSE(MATCH(Config!$B$2,{"PT";"EN"},0),"Seleção","Team")</f>
        <v/>
      </c>
      <c r="B893" t="inlineStr">
        <is>
          <t>Grupo L</t>
        </is>
      </c>
      <c r="C893" t="inlineStr">
        <is>
          <t>ENG</t>
        </is>
      </c>
      <c r="D893" t="inlineStr">
        <is>
          <t>England</t>
        </is>
      </c>
      <c r="E893" t="inlineStr">
        <is>
          <t>ENG3</t>
        </is>
      </c>
      <c r="F893" t="inlineStr">
        <is>
          <t>John Stones - England</t>
        </is>
      </c>
      <c r="G893" t="inlineStr">
        <is>
          <t>Base</t>
        </is>
      </c>
      <c r="I893" t="n">
        <v>0</v>
      </c>
    </row>
    <row r="894">
      <c r="A894">
        <f>CHOOSE(MATCH(Config!$B$2,{"PT";"EN"},0),"Seleção","Team")</f>
        <v/>
      </c>
      <c r="B894" t="inlineStr">
        <is>
          <t>Grupo L</t>
        </is>
      </c>
      <c r="C894" t="inlineStr">
        <is>
          <t>ENG</t>
        </is>
      </c>
      <c r="D894" t="inlineStr">
        <is>
          <t>England</t>
        </is>
      </c>
      <c r="E894" t="inlineStr">
        <is>
          <t>ENG4</t>
        </is>
      </c>
      <c r="F894" t="inlineStr">
        <is>
          <t>Marc Guéhi - England</t>
        </is>
      </c>
      <c r="G894" t="inlineStr">
        <is>
          <t>Base</t>
        </is>
      </c>
      <c r="I894" t="n">
        <v>0</v>
      </c>
    </row>
    <row r="895">
      <c r="A895">
        <f>CHOOSE(MATCH(Config!$B$2,{"PT";"EN"},0),"Seleção","Team")</f>
        <v/>
      </c>
      <c r="B895" t="inlineStr">
        <is>
          <t>Grupo L</t>
        </is>
      </c>
      <c r="C895" t="inlineStr">
        <is>
          <t>ENG</t>
        </is>
      </c>
      <c r="D895" t="inlineStr">
        <is>
          <t>England</t>
        </is>
      </c>
      <c r="E895" t="inlineStr">
        <is>
          <t>ENG5</t>
        </is>
      </c>
      <c r="F895" t="inlineStr">
        <is>
          <t>Ezri Konsa - England</t>
        </is>
      </c>
      <c r="G895" t="inlineStr">
        <is>
          <t>Base</t>
        </is>
      </c>
      <c r="I895" t="n">
        <v>0</v>
      </c>
    </row>
    <row r="896">
      <c r="A896">
        <f>CHOOSE(MATCH(Config!$B$2,{"PT";"EN"},0),"Seleção","Team")</f>
        <v/>
      </c>
      <c r="B896" t="inlineStr">
        <is>
          <t>Grupo L</t>
        </is>
      </c>
      <c r="C896" t="inlineStr">
        <is>
          <t>ENG</t>
        </is>
      </c>
      <c r="D896" t="inlineStr">
        <is>
          <t>England</t>
        </is>
      </c>
      <c r="E896" t="inlineStr">
        <is>
          <t>ENG6</t>
        </is>
      </c>
      <c r="F896" t="inlineStr">
        <is>
          <t>Trent Alexander-Arnold - England</t>
        </is>
      </c>
      <c r="G896" t="inlineStr">
        <is>
          <t>Base</t>
        </is>
      </c>
      <c r="I896" t="n">
        <v>0</v>
      </c>
    </row>
    <row r="897">
      <c r="A897">
        <f>CHOOSE(MATCH(Config!$B$2,{"PT";"EN"},0),"Seleção","Team")</f>
        <v/>
      </c>
      <c r="B897" t="inlineStr">
        <is>
          <t>Grupo L</t>
        </is>
      </c>
      <c r="C897" t="inlineStr">
        <is>
          <t>ENG</t>
        </is>
      </c>
      <c r="D897" t="inlineStr">
        <is>
          <t>England</t>
        </is>
      </c>
      <c r="E897" t="inlineStr">
        <is>
          <t>ENG7</t>
        </is>
      </c>
      <c r="F897" t="inlineStr">
        <is>
          <t>Reece James - England</t>
        </is>
      </c>
      <c r="G897" t="inlineStr">
        <is>
          <t>Base</t>
        </is>
      </c>
      <c r="I897" t="n">
        <v>0</v>
      </c>
    </row>
    <row r="898">
      <c r="A898">
        <f>CHOOSE(MATCH(Config!$B$2,{"PT";"EN"},0),"Seleção","Team")</f>
        <v/>
      </c>
      <c r="B898" t="inlineStr">
        <is>
          <t>Grupo L</t>
        </is>
      </c>
      <c r="C898" t="inlineStr">
        <is>
          <t>ENG</t>
        </is>
      </c>
      <c r="D898" t="inlineStr">
        <is>
          <t>England</t>
        </is>
      </c>
      <c r="E898" t="inlineStr">
        <is>
          <t>ENG8</t>
        </is>
      </c>
      <c r="F898" t="inlineStr">
        <is>
          <t>Dan Burn - England</t>
        </is>
      </c>
      <c r="G898" t="inlineStr">
        <is>
          <t>Base</t>
        </is>
      </c>
      <c r="I898" t="n">
        <v>0</v>
      </c>
    </row>
    <row r="899">
      <c r="A899">
        <f>CHOOSE(MATCH(Config!$B$2,{"PT";"EN"},0),"Seleção","Team")</f>
        <v/>
      </c>
      <c r="B899" t="inlineStr">
        <is>
          <t>Grupo L</t>
        </is>
      </c>
      <c r="C899" t="inlineStr">
        <is>
          <t>ENG</t>
        </is>
      </c>
      <c r="D899" t="inlineStr">
        <is>
          <t>England</t>
        </is>
      </c>
      <c r="E899" t="inlineStr">
        <is>
          <t>ENG9</t>
        </is>
      </c>
      <c r="F899" t="inlineStr">
        <is>
          <t>Jordan Henderson - England</t>
        </is>
      </c>
      <c r="G899" t="inlineStr">
        <is>
          <t>Base</t>
        </is>
      </c>
      <c r="I899" t="n">
        <v>0</v>
      </c>
    </row>
    <row r="900">
      <c r="A900">
        <f>CHOOSE(MATCH(Config!$B$2,{"PT";"EN"},0),"Seleção","Team")</f>
        <v/>
      </c>
      <c r="B900" t="inlineStr">
        <is>
          <t>Grupo L</t>
        </is>
      </c>
      <c r="C900" t="inlineStr">
        <is>
          <t>ENG</t>
        </is>
      </c>
      <c r="D900" t="inlineStr">
        <is>
          <t>England</t>
        </is>
      </c>
      <c r="E900" t="inlineStr">
        <is>
          <t>ENG10</t>
        </is>
      </c>
      <c r="F900" t="inlineStr">
        <is>
          <t>Declan Rice - England</t>
        </is>
      </c>
      <c r="G900" t="inlineStr">
        <is>
          <t>Base</t>
        </is>
      </c>
      <c r="I900" t="n">
        <v>0</v>
      </c>
    </row>
    <row r="901">
      <c r="A901">
        <f>CHOOSE(MATCH(Config!$B$2,{"PT";"EN"},0),"Seleção","Team")</f>
        <v/>
      </c>
      <c r="B901" t="inlineStr">
        <is>
          <t>Grupo L</t>
        </is>
      </c>
      <c r="C901" t="inlineStr">
        <is>
          <t>ENG</t>
        </is>
      </c>
      <c r="D901" t="inlineStr">
        <is>
          <t>England</t>
        </is>
      </c>
      <c r="E901" t="inlineStr">
        <is>
          <t>ENG11</t>
        </is>
      </c>
      <c r="F901" t="inlineStr">
        <is>
          <t>Jude Bellingham - England</t>
        </is>
      </c>
      <c r="G901" t="inlineStr">
        <is>
          <t>Base</t>
        </is>
      </c>
      <c r="I901" t="n">
        <v>0</v>
      </c>
    </row>
    <row r="902">
      <c r="A902">
        <f>CHOOSE(MATCH(Config!$B$2,{"PT";"EN"},0),"Seleção","Team")</f>
        <v/>
      </c>
      <c r="B902" t="inlineStr">
        <is>
          <t>Grupo L</t>
        </is>
      </c>
      <c r="C902" t="inlineStr">
        <is>
          <t>ENG</t>
        </is>
      </c>
      <c r="D902" t="inlineStr">
        <is>
          <t>England</t>
        </is>
      </c>
      <c r="E902" t="inlineStr">
        <is>
          <t>ENG12</t>
        </is>
      </c>
      <c r="F902" t="inlineStr">
        <is>
          <t>Cole Palmer - England</t>
        </is>
      </c>
      <c r="G902" t="inlineStr">
        <is>
          <t>Base</t>
        </is>
      </c>
      <c r="I902" t="n">
        <v>0</v>
      </c>
    </row>
    <row r="903">
      <c r="A903">
        <f>CHOOSE(MATCH(Config!$B$2,{"PT";"EN"},0),"Seleção","Team")</f>
        <v/>
      </c>
      <c r="B903" t="inlineStr">
        <is>
          <t>Grupo L</t>
        </is>
      </c>
      <c r="C903" t="inlineStr">
        <is>
          <t>ENG</t>
        </is>
      </c>
      <c r="D903" t="inlineStr">
        <is>
          <t>England</t>
        </is>
      </c>
      <c r="E903" t="inlineStr">
        <is>
          <t>ENG13</t>
        </is>
      </c>
      <c r="F903" t="inlineStr">
        <is>
          <t>Team Photo - England</t>
        </is>
      </c>
      <c r="G903" t="inlineStr">
        <is>
          <t>Base</t>
        </is>
      </c>
      <c r="I903" t="n">
        <v>0</v>
      </c>
    </row>
    <row r="904">
      <c r="A904">
        <f>CHOOSE(MATCH(Config!$B$2,{"PT";"EN"},0),"Seleção","Team")</f>
        <v/>
      </c>
      <c r="B904" t="inlineStr">
        <is>
          <t>Grupo L</t>
        </is>
      </c>
      <c r="C904" t="inlineStr">
        <is>
          <t>ENG</t>
        </is>
      </c>
      <c r="D904" t="inlineStr">
        <is>
          <t>England</t>
        </is>
      </c>
      <c r="E904" t="inlineStr">
        <is>
          <t>ENG14</t>
        </is>
      </c>
      <c r="F904" t="inlineStr">
        <is>
          <t>Morgan Rogers - England</t>
        </is>
      </c>
      <c r="G904" t="inlineStr">
        <is>
          <t>Base</t>
        </is>
      </c>
      <c r="I904" t="n">
        <v>0</v>
      </c>
    </row>
    <row r="905">
      <c r="A905">
        <f>CHOOSE(MATCH(Config!$B$2,{"PT";"EN"},0),"Seleção","Team")</f>
        <v/>
      </c>
      <c r="B905" t="inlineStr">
        <is>
          <t>Grupo L</t>
        </is>
      </c>
      <c r="C905" t="inlineStr">
        <is>
          <t>ENG</t>
        </is>
      </c>
      <c r="D905" t="inlineStr">
        <is>
          <t>England</t>
        </is>
      </c>
      <c r="E905" t="inlineStr">
        <is>
          <t>ENG15</t>
        </is>
      </c>
      <c r="F905" t="inlineStr">
        <is>
          <t>Anthony Gordon - England</t>
        </is>
      </c>
      <c r="G905" t="inlineStr">
        <is>
          <t>Base</t>
        </is>
      </c>
      <c r="I905" t="n">
        <v>0</v>
      </c>
    </row>
    <row r="906">
      <c r="A906">
        <f>CHOOSE(MATCH(Config!$B$2,{"PT";"EN"},0),"Seleção","Team")</f>
        <v/>
      </c>
      <c r="B906" t="inlineStr">
        <is>
          <t>Grupo L</t>
        </is>
      </c>
      <c r="C906" t="inlineStr">
        <is>
          <t>ENG</t>
        </is>
      </c>
      <c r="D906" t="inlineStr">
        <is>
          <t>England</t>
        </is>
      </c>
      <c r="E906" t="inlineStr">
        <is>
          <t>ENG16</t>
        </is>
      </c>
      <c r="F906" t="inlineStr">
        <is>
          <t>Phil Foden - England</t>
        </is>
      </c>
      <c r="G906" t="inlineStr">
        <is>
          <t>Base</t>
        </is>
      </c>
      <c r="I906" t="n">
        <v>0</v>
      </c>
    </row>
    <row r="907">
      <c r="A907">
        <f>CHOOSE(MATCH(Config!$B$2,{"PT";"EN"},0),"Seleção","Team")</f>
        <v/>
      </c>
      <c r="B907" t="inlineStr">
        <is>
          <t>Grupo L</t>
        </is>
      </c>
      <c r="C907" t="inlineStr">
        <is>
          <t>ENG</t>
        </is>
      </c>
      <c r="D907" t="inlineStr">
        <is>
          <t>England</t>
        </is>
      </c>
      <c r="E907" t="inlineStr">
        <is>
          <t>ENG17</t>
        </is>
      </c>
      <c r="F907" t="inlineStr">
        <is>
          <t>Bukayo Saka - England</t>
        </is>
      </c>
      <c r="G907" t="inlineStr">
        <is>
          <t>Base</t>
        </is>
      </c>
      <c r="I907" t="n">
        <v>0</v>
      </c>
    </row>
    <row r="908">
      <c r="A908">
        <f>CHOOSE(MATCH(Config!$B$2,{"PT";"EN"},0),"Seleção","Team")</f>
        <v/>
      </c>
      <c r="B908" t="inlineStr">
        <is>
          <t>Grupo L</t>
        </is>
      </c>
      <c r="C908" t="inlineStr">
        <is>
          <t>ENG</t>
        </is>
      </c>
      <c r="D908" t="inlineStr">
        <is>
          <t>England</t>
        </is>
      </c>
      <c r="E908" t="inlineStr">
        <is>
          <t>ENG18</t>
        </is>
      </c>
      <c r="F908" t="inlineStr">
        <is>
          <t>Harry Kane - England</t>
        </is>
      </c>
      <c r="G908" t="inlineStr">
        <is>
          <t>Base</t>
        </is>
      </c>
      <c r="I908" t="n">
        <v>0</v>
      </c>
    </row>
    <row r="909">
      <c r="A909">
        <f>CHOOSE(MATCH(Config!$B$2,{"PT";"EN"},0),"Seleção","Team")</f>
        <v/>
      </c>
      <c r="B909" t="inlineStr">
        <is>
          <t>Grupo L</t>
        </is>
      </c>
      <c r="C909" t="inlineStr">
        <is>
          <t>ENG</t>
        </is>
      </c>
      <c r="D909" t="inlineStr">
        <is>
          <t>England</t>
        </is>
      </c>
      <c r="E909" t="inlineStr">
        <is>
          <t>ENG19</t>
        </is>
      </c>
      <c r="F909" t="inlineStr">
        <is>
          <t>Marcus Rashford - England</t>
        </is>
      </c>
      <c r="G909" t="inlineStr">
        <is>
          <t>Base</t>
        </is>
      </c>
      <c r="I909" t="n">
        <v>0</v>
      </c>
    </row>
    <row r="910">
      <c r="A910">
        <f>CHOOSE(MATCH(Config!$B$2,{"PT";"EN"},0),"Seleção","Team")</f>
        <v/>
      </c>
      <c r="B910" t="inlineStr">
        <is>
          <t>Grupo L</t>
        </is>
      </c>
      <c r="C910" t="inlineStr">
        <is>
          <t>ENG</t>
        </is>
      </c>
      <c r="D910" t="inlineStr">
        <is>
          <t>England</t>
        </is>
      </c>
      <c r="E910" t="inlineStr">
        <is>
          <t>ENG20</t>
        </is>
      </c>
      <c r="F910" t="inlineStr">
        <is>
          <t>Ollie Watkins - England</t>
        </is>
      </c>
      <c r="G910" t="inlineStr">
        <is>
          <t>Base</t>
        </is>
      </c>
      <c r="I910" t="n">
        <v>0</v>
      </c>
    </row>
    <row r="911">
      <c r="A911">
        <f>CHOOSE(MATCH(Config!$B$2,{"PT";"EN"},0),"Seleção","Team")</f>
        <v/>
      </c>
      <c r="B911" t="inlineStr">
        <is>
          <t>Grupo L</t>
        </is>
      </c>
      <c r="C911" t="inlineStr">
        <is>
          <t>CRO</t>
        </is>
      </c>
      <c r="D911" t="inlineStr">
        <is>
          <t>Croatia</t>
        </is>
      </c>
      <c r="E911" t="inlineStr">
        <is>
          <t>CRO1</t>
        </is>
      </c>
      <c r="F911" t="inlineStr">
        <is>
          <t>Team Logo - Croatia FOIL</t>
        </is>
      </c>
      <c r="G911" t="inlineStr">
        <is>
          <t>FOIL</t>
        </is>
      </c>
      <c r="I911" t="n">
        <v>0</v>
      </c>
    </row>
    <row r="912">
      <c r="A912">
        <f>CHOOSE(MATCH(Config!$B$2,{"PT";"EN"},0),"Seleção","Team")</f>
        <v/>
      </c>
      <c r="B912" t="inlineStr">
        <is>
          <t>Grupo L</t>
        </is>
      </c>
      <c r="C912" t="inlineStr">
        <is>
          <t>CRO</t>
        </is>
      </c>
      <c r="D912" t="inlineStr">
        <is>
          <t>Croatia</t>
        </is>
      </c>
      <c r="E912" t="inlineStr">
        <is>
          <t>CRO2</t>
        </is>
      </c>
      <c r="F912" t="inlineStr">
        <is>
          <t>Dominik Livaković - Croatia</t>
        </is>
      </c>
      <c r="G912" t="inlineStr">
        <is>
          <t>Base</t>
        </is>
      </c>
      <c r="I912" t="n">
        <v>0</v>
      </c>
    </row>
    <row r="913">
      <c r="A913">
        <f>CHOOSE(MATCH(Config!$B$2,{"PT";"EN"},0),"Seleção","Team")</f>
        <v/>
      </c>
      <c r="B913" t="inlineStr">
        <is>
          <t>Grupo L</t>
        </is>
      </c>
      <c r="C913" t="inlineStr">
        <is>
          <t>CRO</t>
        </is>
      </c>
      <c r="D913" t="inlineStr">
        <is>
          <t>Croatia</t>
        </is>
      </c>
      <c r="E913" t="inlineStr">
        <is>
          <t>CRO3</t>
        </is>
      </c>
      <c r="F913" t="inlineStr">
        <is>
          <t>Duje Caleta-Car - Croatia</t>
        </is>
      </c>
      <c r="G913" t="inlineStr">
        <is>
          <t>Base</t>
        </is>
      </c>
      <c r="I913" t="n">
        <v>0</v>
      </c>
    </row>
    <row r="914">
      <c r="A914">
        <f>CHOOSE(MATCH(Config!$B$2,{"PT";"EN"},0),"Seleção","Team")</f>
        <v/>
      </c>
      <c r="B914" t="inlineStr">
        <is>
          <t>Grupo L</t>
        </is>
      </c>
      <c r="C914" t="inlineStr">
        <is>
          <t>CRO</t>
        </is>
      </c>
      <c r="D914" t="inlineStr">
        <is>
          <t>Croatia</t>
        </is>
      </c>
      <c r="E914" t="inlineStr">
        <is>
          <t>CRO4</t>
        </is>
      </c>
      <c r="F914" t="inlineStr">
        <is>
          <t>Josko Gvardiol - Croatia</t>
        </is>
      </c>
      <c r="G914" t="inlineStr">
        <is>
          <t>Base</t>
        </is>
      </c>
      <c r="I914" t="n">
        <v>0</v>
      </c>
    </row>
    <row r="915">
      <c r="A915">
        <f>CHOOSE(MATCH(Config!$B$2,{"PT";"EN"},0),"Seleção","Team")</f>
        <v/>
      </c>
      <c r="B915" t="inlineStr">
        <is>
          <t>Grupo L</t>
        </is>
      </c>
      <c r="C915" t="inlineStr">
        <is>
          <t>CRO</t>
        </is>
      </c>
      <c r="D915" t="inlineStr">
        <is>
          <t>Croatia</t>
        </is>
      </c>
      <c r="E915" t="inlineStr">
        <is>
          <t>CRO5</t>
        </is>
      </c>
      <c r="F915" t="inlineStr">
        <is>
          <t>Josip Stanišić - Croatia</t>
        </is>
      </c>
      <c r="G915" t="inlineStr">
        <is>
          <t>Base</t>
        </is>
      </c>
      <c r="I915" t="n">
        <v>0</v>
      </c>
    </row>
    <row r="916">
      <c r="A916">
        <f>CHOOSE(MATCH(Config!$B$2,{"PT";"EN"},0),"Seleção","Team")</f>
        <v/>
      </c>
      <c r="B916" t="inlineStr">
        <is>
          <t>Grupo L</t>
        </is>
      </c>
      <c r="C916" t="inlineStr">
        <is>
          <t>CRO</t>
        </is>
      </c>
      <c r="D916" t="inlineStr">
        <is>
          <t>Croatia</t>
        </is>
      </c>
      <c r="E916" t="inlineStr">
        <is>
          <t>CRO6</t>
        </is>
      </c>
      <c r="F916" t="inlineStr">
        <is>
          <t>Luka Vušković - Croatia</t>
        </is>
      </c>
      <c r="G916" t="inlineStr">
        <is>
          <t>Base</t>
        </is>
      </c>
      <c r="I916" t="n">
        <v>0</v>
      </c>
    </row>
    <row r="917">
      <c r="A917">
        <f>CHOOSE(MATCH(Config!$B$2,{"PT";"EN"},0),"Seleção","Team")</f>
        <v/>
      </c>
      <c r="B917" t="inlineStr">
        <is>
          <t>Grupo L</t>
        </is>
      </c>
      <c r="C917" t="inlineStr">
        <is>
          <t>CRO</t>
        </is>
      </c>
      <c r="D917" t="inlineStr">
        <is>
          <t>Croatia</t>
        </is>
      </c>
      <c r="E917" t="inlineStr">
        <is>
          <t>CRO7</t>
        </is>
      </c>
      <c r="F917" t="inlineStr">
        <is>
          <t>Josip Sutalo - Croatia</t>
        </is>
      </c>
      <c r="G917" t="inlineStr">
        <is>
          <t>Base</t>
        </is>
      </c>
      <c r="I917" t="n">
        <v>0</v>
      </c>
    </row>
    <row r="918">
      <c r="A918">
        <f>CHOOSE(MATCH(Config!$B$2,{"PT";"EN"},0),"Seleção","Team")</f>
        <v/>
      </c>
      <c r="B918" t="inlineStr">
        <is>
          <t>Grupo L</t>
        </is>
      </c>
      <c r="C918" t="inlineStr">
        <is>
          <t>CRO</t>
        </is>
      </c>
      <c r="D918" t="inlineStr">
        <is>
          <t>Croatia</t>
        </is>
      </c>
      <c r="E918" t="inlineStr">
        <is>
          <t>CRO8</t>
        </is>
      </c>
      <c r="F918" t="inlineStr">
        <is>
          <t>Kristijan Jakic - Croatia</t>
        </is>
      </c>
      <c r="G918" t="inlineStr">
        <is>
          <t>Base</t>
        </is>
      </c>
      <c r="I918" t="n">
        <v>0</v>
      </c>
    </row>
    <row r="919">
      <c r="A919">
        <f>CHOOSE(MATCH(Config!$B$2,{"PT";"EN"},0),"Seleção","Team")</f>
        <v/>
      </c>
      <c r="B919" t="inlineStr">
        <is>
          <t>Grupo L</t>
        </is>
      </c>
      <c r="C919" t="inlineStr">
        <is>
          <t>CRO</t>
        </is>
      </c>
      <c r="D919" t="inlineStr">
        <is>
          <t>Croatia</t>
        </is>
      </c>
      <c r="E919" t="inlineStr">
        <is>
          <t>CRO9</t>
        </is>
      </c>
      <c r="F919" t="inlineStr">
        <is>
          <t>Luka Modrić - Croatia</t>
        </is>
      </c>
      <c r="G919" t="inlineStr">
        <is>
          <t>Base</t>
        </is>
      </c>
      <c r="I919" t="n">
        <v>0</v>
      </c>
    </row>
    <row r="920">
      <c r="A920">
        <f>CHOOSE(MATCH(Config!$B$2,{"PT";"EN"},0),"Seleção","Team")</f>
        <v/>
      </c>
      <c r="B920" t="inlineStr">
        <is>
          <t>Grupo L</t>
        </is>
      </c>
      <c r="C920" t="inlineStr">
        <is>
          <t>CRO</t>
        </is>
      </c>
      <c r="D920" t="inlineStr">
        <is>
          <t>Croatia</t>
        </is>
      </c>
      <c r="E920" t="inlineStr">
        <is>
          <t>CRO10</t>
        </is>
      </c>
      <c r="F920" t="inlineStr">
        <is>
          <t>Mateo Kovacic - Croatia</t>
        </is>
      </c>
      <c r="G920" t="inlineStr">
        <is>
          <t>Base</t>
        </is>
      </c>
      <c r="I920" t="n">
        <v>0</v>
      </c>
    </row>
    <row r="921">
      <c r="A921">
        <f>CHOOSE(MATCH(Config!$B$2,{"PT";"EN"},0),"Seleção","Team")</f>
        <v/>
      </c>
      <c r="B921" t="inlineStr">
        <is>
          <t>Grupo L</t>
        </is>
      </c>
      <c r="C921" t="inlineStr">
        <is>
          <t>CRO</t>
        </is>
      </c>
      <c r="D921" t="inlineStr">
        <is>
          <t>Croatia</t>
        </is>
      </c>
      <c r="E921" t="inlineStr">
        <is>
          <t>CRO11</t>
        </is>
      </c>
      <c r="F921" t="inlineStr">
        <is>
          <t>Martin Baturina - Croatia</t>
        </is>
      </c>
      <c r="G921" t="inlineStr">
        <is>
          <t>Base</t>
        </is>
      </c>
      <c r="I921" t="n">
        <v>0</v>
      </c>
    </row>
    <row r="922">
      <c r="A922">
        <f>CHOOSE(MATCH(Config!$B$2,{"PT";"EN"},0),"Seleção","Team")</f>
        <v/>
      </c>
      <c r="B922" t="inlineStr">
        <is>
          <t>Grupo L</t>
        </is>
      </c>
      <c r="C922" t="inlineStr">
        <is>
          <t>CRO</t>
        </is>
      </c>
      <c r="D922" t="inlineStr">
        <is>
          <t>Croatia</t>
        </is>
      </c>
      <c r="E922" t="inlineStr">
        <is>
          <t>CRO12</t>
        </is>
      </c>
      <c r="F922" t="inlineStr">
        <is>
          <t>Lovro Majer - Croatia</t>
        </is>
      </c>
      <c r="G922" t="inlineStr">
        <is>
          <t>Base</t>
        </is>
      </c>
      <c r="I922" t="n">
        <v>0</v>
      </c>
    </row>
    <row r="923">
      <c r="A923">
        <f>CHOOSE(MATCH(Config!$B$2,{"PT";"EN"},0),"Seleção","Team")</f>
        <v/>
      </c>
      <c r="B923" t="inlineStr">
        <is>
          <t>Grupo L</t>
        </is>
      </c>
      <c r="C923" t="inlineStr">
        <is>
          <t>CRO</t>
        </is>
      </c>
      <c r="D923" t="inlineStr">
        <is>
          <t>Croatia</t>
        </is>
      </c>
      <c r="E923" t="inlineStr">
        <is>
          <t>CRO13</t>
        </is>
      </c>
      <c r="F923" t="inlineStr">
        <is>
          <t>Team Photo - Croatia</t>
        </is>
      </c>
      <c r="G923" t="inlineStr">
        <is>
          <t>Base</t>
        </is>
      </c>
      <c r="I923" t="n">
        <v>0</v>
      </c>
    </row>
    <row r="924">
      <c r="A924">
        <f>CHOOSE(MATCH(Config!$B$2,{"PT";"EN"},0),"Seleção","Team")</f>
        <v/>
      </c>
      <c r="B924" t="inlineStr">
        <is>
          <t>Grupo L</t>
        </is>
      </c>
      <c r="C924" t="inlineStr">
        <is>
          <t>CRO</t>
        </is>
      </c>
      <c r="D924" t="inlineStr">
        <is>
          <t>Croatia</t>
        </is>
      </c>
      <c r="E924" t="inlineStr">
        <is>
          <t>CRO14</t>
        </is>
      </c>
      <c r="F924" t="inlineStr">
        <is>
          <t>Mario Pasalic - Croatia</t>
        </is>
      </c>
      <c r="G924" t="inlineStr">
        <is>
          <t>Base</t>
        </is>
      </c>
      <c r="I924" t="n">
        <v>0</v>
      </c>
    </row>
    <row r="925">
      <c r="A925">
        <f>CHOOSE(MATCH(Config!$B$2,{"PT";"EN"},0),"Seleção","Team")</f>
        <v/>
      </c>
      <c r="B925" t="inlineStr">
        <is>
          <t>Grupo L</t>
        </is>
      </c>
      <c r="C925" t="inlineStr">
        <is>
          <t>CRO</t>
        </is>
      </c>
      <c r="D925" t="inlineStr">
        <is>
          <t>Croatia</t>
        </is>
      </c>
      <c r="E925" t="inlineStr">
        <is>
          <t>CRO15</t>
        </is>
      </c>
      <c r="F925" t="inlineStr">
        <is>
          <t>Petar Sucic - Croatia</t>
        </is>
      </c>
      <c r="G925" t="inlineStr">
        <is>
          <t>Base</t>
        </is>
      </c>
      <c r="I925" t="n">
        <v>0</v>
      </c>
    </row>
    <row r="926">
      <c r="A926">
        <f>CHOOSE(MATCH(Config!$B$2,{"PT";"EN"},0),"Seleção","Team")</f>
        <v/>
      </c>
      <c r="B926" t="inlineStr">
        <is>
          <t>Grupo L</t>
        </is>
      </c>
      <c r="C926" t="inlineStr">
        <is>
          <t>CRO</t>
        </is>
      </c>
      <c r="D926" t="inlineStr">
        <is>
          <t>Croatia</t>
        </is>
      </c>
      <c r="E926" t="inlineStr">
        <is>
          <t>CRO16</t>
        </is>
      </c>
      <c r="F926" t="inlineStr">
        <is>
          <t>Ivan Perišić - Croatia</t>
        </is>
      </c>
      <c r="G926" t="inlineStr">
        <is>
          <t>Base</t>
        </is>
      </c>
      <c r="I926" t="n">
        <v>0</v>
      </c>
    </row>
    <row r="927">
      <c r="A927">
        <f>CHOOSE(MATCH(Config!$B$2,{"PT";"EN"},0),"Seleção","Team")</f>
        <v/>
      </c>
      <c r="B927" t="inlineStr">
        <is>
          <t>Grupo L</t>
        </is>
      </c>
      <c r="C927" t="inlineStr">
        <is>
          <t>CRO</t>
        </is>
      </c>
      <c r="D927" t="inlineStr">
        <is>
          <t>Croatia</t>
        </is>
      </c>
      <c r="E927" t="inlineStr">
        <is>
          <t>CRO17</t>
        </is>
      </c>
      <c r="F927" t="inlineStr">
        <is>
          <t>Marco Pasalic - Croatia</t>
        </is>
      </c>
      <c r="G927" t="inlineStr">
        <is>
          <t>Base</t>
        </is>
      </c>
      <c r="I927" t="n">
        <v>0</v>
      </c>
    </row>
    <row r="928">
      <c r="A928">
        <f>CHOOSE(MATCH(Config!$B$2,{"PT";"EN"},0),"Seleção","Team")</f>
        <v/>
      </c>
      <c r="B928" t="inlineStr">
        <is>
          <t>Grupo L</t>
        </is>
      </c>
      <c r="C928" t="inlineStr">
        <is>
          <t>CRO</t>
        </is>
      </c>
      <c r="D928" t="inlineStr">
        <is>
          <t>Croatia</t>
        </is>
      </c>
      <c r="E928" t="inlineStr">
        <is>
          <t>CRO18</t>
        </is>
      </c>
      <c r="F928" t="inlineStr">
        <is>
          <t>Ante Budimir - Croatia</t>
        </is>
      </c>
      <c r="G928" t="inlineStr">
        <is>
          <t>Base</t>
        </is>
      </c>
      <c r="I928" t="n">
        <v>0</v>
      </c>
    </row>
    <row r="929">
      <c r="A929">
        <f>CHOOSE(MATCH(Config!$B$2,{"PT";"EN"},0),"Seleção","Team")</f>
        <v/>
      </c>
      <c r="B929" t="inlineStr">
        <is>
          <t>Grupo L</t>
        </is>
      </c>
      <c r="C929" t="inlineStr">
        <is>
          <t>CRO</t>
        </is>
      </c>
      <c r="D929" t="inlineStr">
        <is>
          <t>Croatia</t>
        </is>
      </c>
      <c r="E929" t="inlineStr">
        <is>
          <t>CRO19</t>
        </is>
      </c>
      <c r="F929" t="inlineStr">
        <is>
          <t>Andrej Kramarić - Croatia</t>
        </is>
      </c>
      <c r="G929" t="inlineStr">
        <is>
          <t>Base</t>
        </is>
      </c>
      <c r="I929" t="n">
        <v>0</v>
      </c>
    </row>
    <row r="930">
      <c r="A930">
        <f>CHOOSE(MATCH(Config!$B$2,{"PT";"EN"},0),"Seleção","Team")</f>
        <v/>
      </c>
      <c r="B930" t="inlineStr">
        <is>
          <t>Grupo L</t>
        </is>
      </c>
      <c r="C930" t="inlineStr">
        <is>
          <t>CRO</t>
        </is>
      </c>
      <c r="D930" t="inlineStr">
        <is>
          <t>Croatia</t>
        </is>
      </c>
      <c r="E930" t="inlineStr">
        <is>
          <t>CRO20</t>
        </is>
      </c>
      <c r="F930" t="inlineStr">
        <is>
          <t>Franjo Ivanovic - Croatia</t>
        </is>
      </c>
      <c r="G930" t="inlineStr">
        <is>
          <t>Base</t>
        </is>
      </c>
      <c r="I930" t="n">
        <v>0</v>
      </c>
    </row>
    <row r="931">
      <c r="A931">
        <f>CHOOSE(MATCH(Config!$B$2,{"PT";"EN"},0),"Seleção","Team")</f>
        <v/>
      </c>
      <c r="B931" t="inlineStr">
        <is>
          <t>Grupo L</t>
        </is>
      </c>
      <c r="C931" t="inlineStr">
        <is>
          <t>GHA</t>
        </is>
      </c>
      <c r="D931" t="inlineStr">
        <is>
          <t>Ghana</t>
        </is>
      </c>
      <c r="E931" t="inlineStr">
        <is>
          <t>GHA1</t>
        </is>
      </c>
      <c r="F931" t="inlineStr">
        <is>
          <t>Team Logo - Ghana FOIL</t>
        </is>
      </c>
      <c r="G931" t="inlineStr">
        <is>
          <t>FOIL</t>
        </is>
      </c>
      <c r="I931" t="n">
        <v>0</v>
      </c>
    </row>
    <row r="932">
      <c r="A932">
        <f>CHOOSE(MATCH(Config!$B$2,{"PT";"EN"},0),"Seleção","Team")</f>
        <v/>
      </c>
      <c r="B932" t="inlineStr">
        <is>
          <t>Grupo L</t>
        </is>
      </c>
      <c r="C932" t="inlineStr">
        <is>
          <t>GHA</t>
        </is>
      </c>
      <c r="D932" t="inlineStr">
        <is>
          <t>Ghana</t>
        </is>
      </c>
      <c r="E932" t="inlineStr">
        <is>
          <t>GHA2</t>
        </is>
      </c>
      <c r="F932" t="inlineStr">
        <is>
          <t>Lawrence Ati Zigi - Ghana</t>
        </is>
      </c>
      <c r="G932" t="inlineStr">
        <is>
          <t>Base</t>
        </is>
      </c>
      <c r="I932" t="n">
        <v>0</v>
      </c>
    </row>
    <row r="933">
      <c r="A933">
        <f>CHOOSE(MATCH(Config!$B$2,{"PT";"EN"},0),"Seleção","Team")</f>
        <v/>
      </c>
      <c r="B933" t="inlineStr">
        <is>
          <t>Grupo L</t>
        </is>
      </c>
      <c r="C933" t="inlineStr">
        <is>
          <t>GHA</t>
        </is>
      </c>
      <c r="D933" t="inlineStr">
        <is>
          <t>Ghana</t>
        </is>
      </c>
      <c r="E933" t="inlineStr">
        <is>
          <t>GHA3</t>
        </is>
      </c>
      <c r="F933" t="inlineStr">
        <is>
          <t>Tariq Lamptey - Ghana</t>
        </is>
      </c>
      <c r="G933" t="inlineStr">
        <is>
          <t>Base</t>
        </is>
      </c>
      <c r="I933" t="n">
        <v>0</v>
      </c>
    </row>
    <row r="934">
      <c r="A934">
        <f>CHOOSE(MATCH(Config!$B$2,{"PT";"EN"},0),"Seleção","Team")</f>
        <v/>
      </c>
      <c r="B934" t="inlineStr">
        <is>
          <t>Grupo L</t>
        </is>
      </c>
      <c r="C934" t="inlineStr">
        <is>
          <t>GHA</t>
        </is>
      </c>
      <c r="D934" t="inlineStr">
        <is>
          <t>Ghana</t>
        </is>
      </c>
      <c r="E934" t="inlineStr">
        <is>
          <t>GHA4</t>
        </is>
      </c>
      <c r="F934" t="inlineStr">
        <is>
          <t>Mohammed Salisu - Ghana</t>
        </is>
      </c>
      <c r="G934" t="inlineStr">
        <is>
          <t>Base</t>
        </is>
      </c>
      <c r="I934" t="n">
        <v>0</v>
      </c>
    </row>
    <row r="935">
      <c r="A935">
        <f>CHOOSE(MATCH(Config!$B$2,{"PT";"EN"},0),"Seleção","Team")</f>
        <v/>
      </c>
      <c r="B935" t="inlineStr">
        <is>
          <t>Grupo L</t>
        </is>
      </c>
      <c r="C935" t="inlineStr">
        <is>
          <t>GHA</t>
        </is>
      </c>
      <c r="D935" t="inlineStr">
        <is>
          <t>Ghana</t>
        </is>
      </c>
      <c r="E935" t="inlineStr">
        <is>
          <t>GHA5</t>
        </is>
      </c>
      <c r="F935" t="inlineStr">
        <is>
          <t>Alidu Seidu - Ghana</t>
        </is>
      </c>
      <c r="G935" t="inlineStr">
        <is>
          <t>Base</t>
        </is>
      </c>
      <c r="I935" t="n">
        <v>0</v>
      </c>
    </row>
    <row r="936">
      <c r="A936">
        <f>CHOOSE(MATCH(Config!$B$2,{"PT";"EN"},0),"Seleção","Team")</f>
        <v/>
      </c>
      <c r="B936" t="inlineStr">
        <is>
          <t>Grupo L</t>
        </is>
      </c>
      <c r="C936" t="inlineStr">
        <is>
          <t>GHA</t>
        </is>
      </c>
      <c r="D936" t="inlineStr">
        <is>
          <t>Ghana</t>
        </is>
      </c>
      <c r="E936" t="inlineStr">
        <is>
          <t>GHA6</t>
        </is>
      </c>
      <c r="F936" t="inlineStr">
        <is>
          <t>Alexander Djiku - Ghana</t>
        </is>
      </c>
      <c r="G936" t="inlineStr">
        <is>
          <t>Base</t>
        </is>
      </c>
      <c r="I936" t="n">
        <v>0</v>
      </c>
    </row>
    <row r="937">
      <c r="A937">
        <f>CHOOSE(MATCH(Config!$B$2,{"PT";"EN"},0),"Seleção","Team")</f>
        <v/>
      </c>
      <c r="B937" t="inlineStr">
        <is>
          <t>Grupo L</t>
        </is>
      </c>
      <c r="C937" t="inlineStr">
        <is>
          <t>GHA</t>
        </is>
      </c>
      <c r="D937" t="inlineStr">
        <is>
          <t>Ghana</t>
        </is>
      </c>
      <c r="E937" t="inlineStr">
        <is>
          <t>GHA7</t>
        </is>
      </c>
      <c r="F937" t="inlineStr">
        <is>
          <t>Gideon Mensah - Ghana</t>
        </is>
      </c>
      <c r="G937" t="inlineStr">
        <is>
          <t>Base</t>
        </is>
      </c>
      <c r="I937" t="n">
        <v>0</v>
      </c>
    </row>
    <row r="938">
      <c r="A938">
        <f>CHOOSE(MATCH(Config!$B$2,{"PT";"EN"},0),"Seleção","Team")</f>
        <v/>
      </c>
      <c r="B938" t="inlineStr">
        <is>
          <t>Grupo L</t>
        </is>
      </c>
      <c r="C938" t="inlineStr">
        <is>
          <t>GHA</t>
        </is>
      </c>
      <c r="D938" t="inlineStr">
        <is>
          <t>Ghana</t>
        </is>
      </c>
      <c r="E938" t="inlineStr">
        <is>
          <t>GHA8</t>
        </is>
      </c>
      <c r="F938" t="inlineStr">
        <is>
          <t>Caleb Yirenkyi - Ghana</t>
        </is>
      </c>
      <c r="G938" t="inlineStr">
        <is>
          <t>Base</t>
        </is>
      </c>
      <c r="I938" t="n">
        <v>0</v>
      </c>
    </row>
    <row r="939">
      <c r="A939">
        <f>CHOOSE(MATCH(Config!$B$2,{"PT";"EN"},0),"Seleção","Team")</f>
        <v/>
      </c>
      <c r="B939" t="inlineStr">
        <is>
          <t>Grupo L</t>
        </is>
      </c>
      <c r="C939" t="inlineStr">
        <is>
          <t>GHA</t>
        </is>
      </c>
      <c r="D939" t="inlineStr">
        <is>
          <t>Ghana</t>
        </is>
      </c>
      <c r="E939" t="inlineStr">
        <is>
          <t>GHA9</t>
        </is>
      </c>
      <c r="F939" t="inlineStr">
        <is>
          <t>Abdul Issahaku Fatawu - Ghana</t>
        </is>
      </c>
      <c r="G939" t="inlineStr">
        <is>
          <t>Base</t>
        </is>
      </c>
      <c r="I939" t="n">
        <v>0</v>
      </c>
    </row>
    <row r="940">
      <c r="A940">
        <f>CHOOSE(MATCH(Config!$B$2,{"PT";"EN"},0),"Seleção","Team")</f>
        <v/>
      </c>
      <c r="B940" t="inlineStr">
        <is>
          <t>Grupo L</t>
        </is>
      </c>
      <c r="C940" t="inlineStr">
        <is>
          <t>GHA</t>
        </is>
      </c>
      <c r="D940" t="inlineStr">
        <is>
          <t>Ghana</t>
        </is>
      </c>
      <c r="E940" t="inlineStr">
        <is>
          <t>GHA10</t>
        </is>
      </c>
      <c r="F940" t="inlineStr">
        <is>
          <t>Thomas Partey - Ghana</t>
        </is>
      </c>
      <c r="G940" t="inlineStr">
        <is>
          <t>Base</t>
        </is>
      </c>
      <c r="I940" t="n">
        <v>0</v>
      </c>
    </row>
    <row r="941">
      <c r="A941">
        <f>CHOOSE(MATCH(Config!$B$2,{"PT";"EN"},0),"Seleção","Team")</f>
        <v/>
      </c>
      <c r="B941" t="inlineStr">
        <is>
          <t>Grupo L</t>
        </is>
      </c>
      <c r="C941" t="inlineStr">
        <is>
          <t>GHA</t>
        </is>
      </c>
      <c r="D941" t="inlineStr">
        <is>
          <t>Ghana</t>
        </is>
      </c>
      <c r="E941" t="inlineStr">
        <is>
          <t>GHA11</t>
        </is>
      </c>
      <c r="F941" t="inlineStr">
        <is>
          <t>Salis Abdul Samed - Ghana</t>
        </is>
      </c>
      <c r="G941" t="inlineStr">
        <is>
          <t>Base</t>
        </is>
      </c>
      <c r="I941" t="n">
        <v>0</v>
      </c>
    </row>
    <row r="942">
      <c r="A942">
        <f>CHOOSE(MATCH(Config!$B$2,{"PT";"EN"},0),"Seleção","Team")</f>
        <v/>
      </c>
      <c r="B942" t="inlineStr">
        <is>
          <t>Grupo L</t>
        </is>
      </c>
      <c r="C942" t="inlineStr">
        <is>
          <t>GHA</t>
        </is>
      </c>
      <c r="D942" t="inlineStr">
        <is>
          <t>Ghana</t>
        </is>
      </c>
      <c r="E942" t="inlineStr">
        <is>
          <t>GHA12</t>
        </is>
      </c>
      <c r="F942" t="inlineStr">
        <is>
          <t>Kamaldeen Sulemana - Ghana</t>
        </is>
      </c>
      <c r="G942" t="inlineStr">
        <is>
          <t>Base</t>
        </is>
      </c>
      <c r="I942" t="n">
        <v>0</v>
      </c>
    </row>
    <row r="943">
      <c r="A943">
        <f>CHOOSE(MATCH(Config!$B$2,{"PT";"EN"},0),"Seleção","Team")</f>
        <v/>
      </c>
      <c r="B943" t="inlineStr">
        <is>
          <t>Grupo L</t>
        </is>
      </c>
      <c r="C943" t="inlineStr">
        <is>
          <t>GHA</t>
        </is>
      </c>
      <c r="D943" t="inlineStr">
        <is>
          <t>Ghana</t>
        </is>
      </c>
      <c r="E943" t="inlineStr">
        <is>
          <t>GHA13</t>
        </is>
      </c>
      <c r="F943" t="inlineStr">
        <is>
          <t>Team Photo - Ghana</t>
        </is>
      </c>
      <c r="G943" t="inlineStr">
        <is>
          <t>Base</t>
        </is>
      </c>
      <c r="I943" t="n">
        <v>0</v>
      </c>
    </row>
    <row r="944">
      <c r="A944">
        <f>CHOOSE(MATCH(Config!$B$2,{"PT";"EN"},0),"Seleção","Team")</f>
        <v/>
      </c>
      <c r="B944" t="inlineStr">
        <is>
          <t>Grupo L</t>
        </is>
      </c>
      <c r="C944" t="inlineStr">
        <is>
          <t>GHA</t>
        </is>
      </c>
      <c r="D944" t="inlineStr">
        <is>
          <t>Ghana</t>
        </is>
      </c>
      <c r="E944" t="inlineStr">
        <is>
          <t>GHA14</t>
        </is>
      </c>
      <c r="F944" t="inlineStr">
        <is>
          <t>Mohammed Kudus - Ghana</t>
        </is>
      </c>
      <c r="G944" t="inlineStr">
        <is>
          <t>Base</t>
        </is>
      </c>
      <c r="I944" t="n">
        <v>0</v>
      </c>
    </row>
    <row r="945">
      <c r="A945">
        <f>CHOOSE(MATCH(Config!$B$2,{"PT";"EN"},0),"Seleção","Team")</f>
        <v/>
      </c>
      <c r="B945" t="inlineStr">
        <is>
          <t>Grupo L</t>
        </is>
      </c>
      <c r="C945" t="inlineStr">
        <is>
          <t>GHA</t>
        </is>
      </c>
      <c r="D945" t="inlineStr">
        <is>
          <t>Ghana</t>
        </is>
      </c>
      <c r="E945" t="inlineStr">
        <is>
          <t>GHA15</t>
        </is>
      </c>
      <c r="F945" t="inlineStr">
        <is>
          <t>Inaki Williams - Ghana</t>
        </is>
      </c>
      <c r="G945" t="inlineStr">
        <is>
          <t>Base</t>
        </is>
      </c>
      <c r="I945" t="n">
        <v>0</v>
      </c>
    </row>
    <row r="946">
      <c r="A946">
        <f>CHOOSE(MATCH(Config!$B$2,{"PT";"EN"},0),"Seleção","Team")</f>
        <v/>
      </c>
      <c r="B946" t="inlineStr">
        <is>
          <t>Grupo L</t>
        </is>
      </c>
      <c r="C946" t="inlineStr">
        <is>
          <t>GHA</t>
        </is>
      </c>
      <c r="D946" t="inlineStr">
        <is>
          <t>Ghana</t>
        </is>
      </c>
      <c r="E946" t="inlineStr">
        <is>
          <t>GHA16</t>
        </is>
      </c>
      <c r="F946" t="inlineStr">
        <is>
          <t>Jordan Ayew - Ghana</t>
        </is>
      </c>
      <c r="G946" t="inlineStr">
        <is>
          <t>Base</t>
        </is>
      </c>
      <c r="I946" t="n">
        <v>0</v>
      </c>
    </row>
    <row r="947">
      <c r="A947">
        <f>CHOOSE(MATCH(Config!$B$2,{"PT";"EN"},0),"Seleção","Team")</f>
        <v/>
      </c>
      <c r="B947" t="inlineStr">
        <is>
          <t>Grupo L</t>
        </is>
      </c>
      <c r="C947" t="inlineStr">
        <is>
          <t>GHA</t>
        </is>
      </c>
      <c r="D947" t="inlineStr">
        <is>
          <t>Ghana</t>
        </is>
      </c>
      <c r="E947" t="inlineStr">
        <is>
          <t>GHA17</t>
        </is>
      </c>
      <c r="F947" t="inlineStr">
        <is>
          <t>Andrew Ayew - Ghana</t>
        </is>
      </c>
      <c r="G947" t="inlineStr">
        <is>
          <t>Base</t>
        </is>
      </c>
      <c r="I947" t="n">
        <v>0</v>
      </c>
    </row>
    <row r="948">
      <c r="A948">
        <f>CHOOSE(MATCH(Config!$B$2,{"PT";"EN"},0),"Seleção","Team")</f>
        <v/>
      </c>
      <c r="B948" t="inlineStr">
        <is>
          <t>Grupo L</t>
        </is>
      </c>
      <c r="C948" t="inlineStr">
        <is>
          <t>GHA</t>
        </is>
      </c>
      <c r="D948" t="inlineStr">
        <is>
          <t>Ghana</t>
        </is>
      </c>
      <c r="E948" t="inlineStr">
        <is>
          <t>GHA18</t>
        </is>
      </c>
      <c r="F948" t="inlineStr">
        <is>
          <t>Joseph Paintsil - Ghana</t>
        </is>
      </c>
      <c r="G948" t="inlineStr">
        <is>
          <t>Base</t>
        </is>
      </c>
      <c r="I948" t="n">
        <v>0</v>
      </c>
    </row>
    <row r="949">
      <c r="A949">
        <f>CHOOSE(MATCH(Config!$B$2,{"PT";"EN"},0),"Seleção","Team")</f>
        <v/>
      </c>
      <c r="B949" t="inlineStr">
        <is>
          <t>Grupo L</t>
        </is>
      </c>
      <c r="C949" t="inlineStr">
        <is>
          <t>GHA</t>
        </is>
      </c>
      <c r="D949" t="inlineStr">
        <is>
          <t>Ghana</t>
        </is>
      </c>
      <c r="E949" t="inlineStr">
        <is>
          <t>GHA19</t>
        </is>
      </c>
      <c r="F949" t="inlineStr">
        <is>
          <t>Osman Bukari - Ghana</t>
        </is>
      </c>
      <c r="G949" t="inlineStr">
        <is>
          <t>Base</t>
        </is>
      </c>
      <c r="I949" t="n">
        <v>0</v>
      </c>
    </row>
    <row r="950">
      <c r="A950">
        <f>CHOOSE(MATCH(Config!$B$2,{"PT";"EN"},0),"Seleção","Team")</f>
        <v/>
      </c>
      <c r="B950" t="inlineStr">
        <is>
          <t>Grupo L</t>
        </is>
      </c>
      <c r="C950" t="inlineStr">
        <is>
          <t>GHA</t>
        </is>
      </c>
      <c r="D950" t="inlineStr">
        <is>
          <t>Ghana</t>
        </is>
      </c>
      <c r="E950" t="inlineStr">
        <is>
          <t>GHA20</t>
        </is>
      </c>
      <c r="F950" t="inlineStr">
        <is>
          <t>Antoine Semenyo - Ghana</t>
        </is>
      </c>
      <c r="G950" t="inlineStr">
        <is>
          <t>Base</t>
        </is>
      </c>
      <c r="I950" t="n">
        <v>0</v>
      </c>
    </row>
    <row r="951">
      <c r="A951">
        <f>CHOOSE(MATCH(Config!$B$2,{"PT";"EN"},0),"Seleção","Team")</f>
        <v/>
      </c>
      <c r="B951" t="inlineStr">
        <is>
          <t>Grupo L</t>
        </is>
      </c>
      <c r="C951" t="inlineStr">
        <is>
          <t>PAN</t>
        </is>
      </c>
      <c r="D951" t="inlineStr">
        <is>
          <t>Panama</t>
        </is>
      </c>
      <c r="E951" t="inlineStr">
        <is>
          <t>PAN1</t>
        </is>
      </c>
      <c r="F951" t="inlineStr">
        <is>
          <t>Team Logo - Panama FOIL</t>
        </is>
      </c>
      <c r="G951" t="inlineStr">
        <is>
          <t>FOIL</t>
        </is>
      </c>
      <c r="I951" t="n">
        <v>0</v>
      </c>
    </row>
    <row r="952">
      <c r="A952">
        <f>CHOOSE(MATCH(Config!$B$2,{"PT";"EN"},0),"Seleção","Team")</f>
        <v/>
      </c>
      <c r="B952" t="inlineStr">
        <is>
          <t>Grupo L</t>
        </is>
      </c>
      <c r="C952" t="inlineStr">
        <is>
          <t>PAN</t>
        </is>
      </c>
      <c r="D952" t="inlineStr">
        <is>
          <t>Panama</t>
        </is>
      </c>
      <c r="E952" t="inlineStr">
        <is>
          <t>PAN2</t>
        </is>
      </c>
      <c r="F952" t="inlineStr">
        <is>
          <t>Orlando Mosquera - Panama</t>
        </is>
      </c>
      <c r="G952" t="inlineStr">
        <is>
          <t>Base</t>
        </is>
      </c>
      <c r="I952" t="n">
        <v>0</v>
      </c>
    </row>
    <row r="953">
      <c r="A953">
        <f>CHOOSE(MATCH(Config!$B$2,{"PT";"EN"},0),"Seleção","Team")</f>
        <v/>
      </c>
      <c r="B953" t="inlineStr">
        <is>
          <t>Grupo L</t>
        </is>
      </c>
      <c r="C953" t="inlineStr">
        <is>
          <t>PAN</t>
        </is>
      </c>
      <c r="D953" t="inlineStr">
        <is>
          <t>Panama</t>
        </is>
      </c>
      <c r="E953" t="inlineStr">
        <is>
          <t>PAN3</t>
        </is>
      </c>
      <c r="F953" t="inlineStr">
        <is>
          <t>Luis Mejia - Panama</t>
        </is>
      </c>
      <c r="G953" t="inlineStr">
        <is>
          <t>Base</t>
        </is>
      </c>
      <c r="I953" t="n">
        <v>0</v>
      </c>
    </row>
    <row r="954">
      <c r="A954">
        <f>CHOOSE(MATCH(Config!$B$2,{"PT";"EN"},0),"Seleção","Team")</f>
        <v/>
      </c>
      <c r="B954" t="inlineStr">
        <is>
          <t>Grupo L</t>
        </is>
      </c>
      <c r="C954" t="inlineStr">
        <is>
          <t>PAN</t>
        </is>
      </c>
      <c r="D954" t="inlineStr">
        <is>
          <t>Panama</t>
        </is>
      </c>
      <c r="E954" t="inlineStr">
        <is>
          <t>PAN4</t>
        </is>
      </c>
      <c r="F954" t="inlineStr">
        <is>
          <t>Fidel Escobar - Panama</t>
        </is>
      </c>
      <c r="G954" t="inlineStr">
        <is>
          <t>Base</t>
        </is>
      </c>
      <c r="I954" t="n">
        <v>0</v>
      </c>
    </row>
    <row r="955">
      <c r="A955">
        <f>CHOOSE(MATCH(Config!$B$2,{"PT";"EN"},0),"Seleção","Team")</f>
        <v/>
      </c>
      <c r="B955" t="inlineStr">
        <is>
          <t>Grupo L</t>
        </is>
      </c>
      <c r="C955" t="inlineStr">
        <is>
          <t>PAN</t>
        </is>
      </c>
      <c r="D955" t="inlineStr">
        <is>
          <t>Panama</t>
        </is>
      </c>
      <c r="E955" t="inlineStr">
        <is>
          <t>PAN5</t>
        </is>
      </c>
      <c r="F955" t="inlineStr">
        <is>
          <t>Andres Andrade - Panama</t>
        </is>
      </c>
      <c r="G955" t="inlineStr">
        <is>
          <t>Base</t>
        </is>
      </c>
      <c r="I955" t="n">
        <v>0</v>
      </c>
    </row>
    <row r="956">
      <c r="A956">
        <f>CHOOSE(MATCH(Config!$B$2,{"PT";"EN"},0),"Seleção","Team")</f>
        <v/>
      </c>
      <c r="B956" t="inlineStr">
        <is>
          <t>Grupo L</t>
        </is>
      </c>
      <c r="C956" t="inlineStr">
        <is>
          <t>PAN</t>
        </is>
      </c>
      <c r="D956" t="inlineStr">
        <is>
          <t>Panama</t>
        </is>
      </c>
      <c r="E956" t="inlineStr">
        <is>
          <t>PAN6</t>
        </is>
      </c>
      <c r="F956" t="inlineStr">
        <is>
          <t>Michael Amir Murillo - Panama</t>
        </is>
      </c>
      <c r="G956" t="inlineStr">
        <is>
          <t>Base</t>
        </is>
      </c>
      <c r="I956" t="n">
        <v>0</v>
      </c>
    </row>
    <row r="957">
      <c r="A957">
        <f>CHOOSE(MATCH(Config!$B$2,{"PT";"EN"},0),"Seleção","Team")</f>
        <v/>
      </c>
      <c r="B957" t="inlineStr">
        <is>
          <t>Grupo L</t>
        </is>
      </c>
      <c r="C957" t="inlineStr">
        <is>
          <t>PAN</t>
        </is>
      </c>
      <c r="D957" t="inlineStr">
        <is>
          <t>Panama</t>
        </is>
      </c>
      <c r="E957" t="inlineStr">
        <is>
          <t>PAN7</t>
        </is>
      </c>
      <c r="F957" t="inlineStr">
        <is>
          <t>Eric Davis - Panama</t>
        </is>
      </c>
      <c r="G957" t="inlineStr">
        <is>
          <t>Base</t>
        </is>
      </c>
      <c r="I957" t="n">
        <v>0</v>
      </c>
    </row>
    <row r="958">
      <c r="A958">
        <f>CHOOSE(MATCH(Config!$B$2,{"PT";"EN"},0),"Seleção","Team")</f>
        <v/>
      </c>
      <c r="B958" t="inlineStr">
        <is>
          <t>Grupo L</t>
        </is>
      </c>
      <c r="C958" t="inlineStr">
        <is>
          <t>PAN</t>
        </is>
      </c>
      <c r="D958" t="inlineStr">
        <is>
          <t>Panama</t>
        </is>
      </c>
      <c r="E958" t="inlineStr">
        <is>
          <t>PAN8</t>
        </is>
      </c>
      <c r="F958" t="inlineStr">
        <is>
          <t>Jose Cordoba - Panama</t>
        </is>
      </c>
      <c r="G958" t="inlineStr">
        <is>
          <t>Base</t>
        </is>
      </c>
      <c r="I958" t="n">
        <v>0</v>
      </c>
    </row>
    <row r="959">
      <c r="A959">
        <f>CHOOSE(MATCH(Config!$B$2,{"PT";"EN"},0),"Seleção","Team")</f>
        <v/>
      </c>
      <c r="B959" t="inlineStr">
        <is>
          <t>Grupo L</t>
        </is>
      </c>
      <c r="C959" t="inlineStr">
        <is>
          <t>PAN</t>
        </is>
      </c>
      <c r="D959" t="inlineStr">
        <is>
          <t>Panama</t>
        </is>
      </c>
      <c r="E959" t="inlineStr">
        <is>
          <t>PAN9</t>
        </is>
      </c>
      <c r="F959" t="inlineStr">
        <is>
          <t>Cesar Blackman - Panama</t>
        </is>
      </c>
      <c r="G959" t="inlineStr">
        <is>
          <t>Base</t>
        </is>
      </c>
      <c r="I959" t="n">
        <v>0</v>
      </c>
    </row>
    <row r="960">
      <c r="A960">
        <f>CHOOSE(MATCH(Config!$B$2,{"PT";"EN"},0),"Seleção","Team")</f>
        <v/>
      </c>
      <c r="B960" t="inlineStr">
        <is>
          <t>Grupo L</t>
        </is>
      </c>
      <c r="C960" t="inlineStr">
        <is>
          <t>PAN</t>
        </is>
      </c>
      <c r="D960" t="inlineStr">
        <is>
          <t>Panama</t>
        </is>
      </c>
      <c r="E960" t="inlineStr">
        <is>
          <t>PAN10</t>
        </is>
      </c>
      <c r="F960" t="inlineStr">
        <is>
          <t>Cristian Martinez - Panama</t>
        </is>
      </c>
      <c r="G960" t="inlineStr">
        <is>
          <t>Base</t>
        </is>
      </c>
      <c r="I960" t="n">
        <v>0</v>
      </c>
    </row>
    <row r="961">
      <c r="A961">
        <f>CHOOSE(MATCH(Config!$B$2,{"PT";"EN"},0),"Seleção","Team")</f>
        <v/>
      </c>
      <c r="B961" t="inlineStr">
        <is>
          <t>Grupo L</t>
        </is>
      </c>
      <c r="C961" t="inlineStr">
        <is>
          <t>PAN</t>
        </is>
      </c>
      <c r="D961" t="inlineStr">
        <is>
          <t>Panama</t>
        </is>
      </c>
      <c r="E961" t="inlineStr">
        <is>
          <t>PAN11</t>
        </is>
      </c>
      <c r="F961" t="inlineStr">
        <is>
          <t>Aníbal Godoy - Panama</t>
        </is>
      </c>
      <c r="G961" t="inlineStr">
        <is>
          <t>Base</t>
        </is>
      </c>
      <c r="I961" t="n">
        <v>0</v>
      </c>
    </row>
    <row r="962">
      <c r="A962">
        <f>CHOOSE(MATCH(Config!$B$2,{"PT";"EN"},0),"Seleção","Team")</f>
        <v/>
      </c>
      <c r="B962" t="inlineStr">
        <is>
          <t>Grupo L</t>
        </is>
      </c>
      <c r="C962" t="inlineStr">
        <is>
          <t>PAN</t>
        </is>
      </c>
      <c r="D962" t="inlineStr">
        <is>
          <t>Panama</t>
        </is>
      </c>
      <c r="E962" t="inlineStr">
        <is>
          <t>PAN12</t>
        </is>
      </c>
      <c r="F962" t="inlineStr">
        <is>
          <t>Adalberto Carrasquilla - Panama</t>
        </is>
      </c>
      <c r="G962" t="inlineStr">
        <is>
          <t>Base</t>
        </is>
      </c>
      <c r="I962" t="n">
        <v>0</v>
      </c>
    </row>
    <row r="963">
      <c r="A963">
        <f>CHOOSE(MATCH(Config!$B$2,{"PT";"EN"},0),"Seleção","Team")</f>
        <v/>
      </c>
      <c r="B963" t="inlineStr">
        <is>
          <t>Grupo L</t>
        </is>
      </c>
      <c r="C963" t="inlineStr">
        <is>
          <t>PAN</t>
        </is>
      </c>
      <c r="D963" t="inlineStr">
        <is>
          <t>Panama</t>
        </is>
      </c>
      <c r="E963" t="inlineStr">
        <is>
          <t>PAN13</t>
        </is>
      </c>
      <c r="F963" t="inlineStr">
        <is>
          <t>Team Photo - Panama</t>
        </is>
      </c>
      <c r="G963" t="inlineStr">
        <is>
          <t>Base</t>
        </is>
      </c>
      <c r="I963" t="n">
        <v>0</v>
      </c>
    </row>
    <row r="964">
      <c r="A964">
        <f>CHOOSE(MATCH(Config!$B$2,{"PT";"EN"},0),"Seleção","Team")</f>
        <v/>
      </c>
      <c r="B964" t="inlineStr">
        <is>
          <t>Grupo L</t>
        </is>
      </c>
      <c r="C964" t="inlineStr">
        <is>
          <t>PAN</t>
        </is>
      </c>
      <c r="D964" t="inlineStr">
        <is>
          <t>Panama</t>
        </is>
      </c>
      <c r="E964" t="inlineStr">
        <is>
          <t>PAN14</t>
        </is>
      </c>
      <c r="F964" t="inlineStr">
        <is>
          <t>Édgar Bárcenas - Panama</t>
        </is>
      </c>
      <c r="G964" t="inlineStr">
        <is>
          <t>Base</t>
        </is>
      </c>
      <c r="I964" t="n">
        <v>0</v>
      </c>
    </row>
    <row r="965">
      <c r="A965">
        <f>CHOOSE(MATCH(Config!$B$2,{"PT";"EN"},0),"Seleção","Team")</f>
        <v/>
      </c>
      <c r="B965" t="inlineStr">
        <is>
          <t>Grupo L</t>
        </is>
      </c>
      <c r="C965" t="inlineStr">
        <is>
          <t>PAN</t>
        </is>
      </c>
      <c r="D965" t="inlineStr">
        <is>
          <t>Panama</t>
        </is>
      </c>
      <c r="E965" t="inlineStr">
        <is>
          <t>PAN15</t>
        </is>
      </c>
      <c r="F965" t="inlineStr">
        <is>
          <t>Carlos Harvey - Panama</t>
        </is>
      </c>
      <c r="G965" t="inlineStr">
        <is>
          <t>Base</t>
        </is>
      </c>
      <c r="I965" t="n">
        <v>0</v>
      </c>
    </row>
    <row r="966">
      <c r="A966">
        <f>CHOOSE(MATCH(Config!$B$2,{"PT";"EN"},0),"Seleção","Team")</f>
        <v/>
      </c>
      <c r="B966" t="inlineStr">
        <is>
          <t>Grupo L</t>
        </is>
      </c>
      <c r="C966" t="inlineStr">
        <is>
          <t>PAN</t>
        </is>
      </c>
      <c r="D966" t="inlineStr">
        <is>
          <t>Panama</t>
        </is>
      </c>
      <c r="E966" t="inlineStr">
        <is>
          <t>PAN16</t>
        </is>
      </c>
      <c r="F966" t="inlineStr">
        <is>
          <t>Ismael Díaz - Panama</t>
        </is>
      </c>
      <c r="G966" t="inlineStr">
        <is>
          <t>Base</t>
        </is>
      </c>
      <c r="I966" t="n">
        <v>0</v>
      </c>
    </row>
    <row r="967">
      <c r="A967">
        <f>CHOOSE(MATCH(Config!$B$2,{"PT";"EN"},0),"Seleção","Team")</f>
        <v/>
      </c>
      <c r="B967" t="inlineStr">
        <is>
          <t>Grupo L</t>
        </is>
      </c>
      <c r="C967" t="inlineStr">
        <is>
          <t>PAN</t>
        </is>
      </c>
      <c r="D967" t="inlineStr">
        <is>
          <t>Panama</t>
        </is>
      </c>
      <c r="E967" t="inlineStr">
        <is>
          <t>PAN17</t>
        </is>
      </c>
      <c r="F967" t="inlineStr">
        <is>
          <t>Jose Fajardo - Panama</t>
        </is>
      </c>
      <c r="G967" t="inlineStr">
        <is>
          <t>Base</t>
        </is>
      </c>
      <c r="I967" t="n">
        <v>0</v>
      </c>
    </row>
    <row r="968">
      <c r="A968">
        <f>CHOOSE(MATCH(Config!$B$2,{"PT";"EN"},0),"Seleção","Team")</f>
        <v/>
      </c>
      <c r="B968" t="inlineStr">
        <is>
          <t>Grupo L</t>
        </is>
      </c>
      <c r="C968" t="inlineStr">
        <is>
          <t>PAN</t>
        </is>
      </c>
      <c r="D968" t="inlineStr">
        <is>
          <t>Panama</t>
        </is>
      </c>
      <c r="E968" t="inlineStr">
        <is>
          <t>PAN18</t>
        </is>
      </c>
      <c r="F968" t="inlineStr">
        <is>
          <t>Cecilio Waterman - Panama</t>
        </is>
      </c>
      <c r="G968" t="inlineStr">
        <is>
          <t>Base</t>
        </is>
      </c>
      <c r="I968" t="n">
        <v>0</v>
      </c>
    </row>
    <row r="969">
      <c r="A969">
        <f>CHOOSE(MATCH(Config!$B$2,{"PT";"EN"},0),"Seleção","Team")</f>
        <v/>
      </c>
      <c r="B969" t="inlineStr">
        <is>
          <t>Grupo L</t>
        </is>
      </c>
      <c r="C969" t="inlineStr">
        <is>
          <t>PAN</t>
        </is>
      </c>
      <c r="D969" t="inlineStr">
        <is>
          <t>Panama</t>
        </is>
      </c>
      <c r="E969" t="inlineStr">
        <is>
          <t>PAN19</t>
        </is>
      </c>
      <c r="F969" t="inlineStr">
        <is>
          <t>Jose Luiz Rodriguez - Panama</t>
        </is>
      </c>
      <c r="G969" t="inlineStr">
        <is>
          <t>Base</t>
        </is>
      </c>
      <c r="I969" t="n">
        <v>0</v>
      </c>
    </row>
    <row r="970">
      <c r="A970">
        <f>CHOOSE(MATCH(Config!$B$2,{"PT";"EN"},0),"Seleção","Team")</f>
        <v/>
      </c>
      <c r="B970" t="inlineStr">
        <is>
          <t>Grupo L</t>
        </is>
      </c>
      <c r="C970" t="inlineStr">
        <is>
          <t>PAN</t>
        </is>
      </c>
      <c r="D970" t="inlineStr">
        <is>
          <t>Panama</t>
        </is>
      </c>
      <c r="E970" t="inlineStr">
        <is>
          <t>PAN20</t>
        </is>
      </c>
      <c r="F970" t="inlineStr">
        <is>
          <t>Alberto Quintero - Panama</t>
        </is>
      </c>
      <c r="G970" t="inlineStr">
        <is>
          <t>Base</t>
        </is>
      </c>
      <c r="I970" t="n">
        <v>0</v>
      </c>
    </row>
    <row r="971">
      <c r="A971">
        <f>CHOOSE(MATCH(Config!$B$2,{"PT";"EN"},0),"Museu FIFA","FIFA Museum")</f>
        <v/>
      </c>
      <c r="E971" t="inlineStr">
        <is>
          <t>FWC9</t>
        </is>
      </c>
      <c r="F971" t="inlineStr">
        <is>
          <t>Italy 1934 - FIFA Museum FOIL</t>
        </is>
      </c>
      <c r="G971" t="inlineStr">
        <is>
          <t>FOIL</t>
        </is>
      </c>
      <c r="I971" t="n">
        <v>0</v>
      </c>
    </row>
    <row r="972">
      <c r="A972">
        <f>CHOOSE(MATCH(Config!$B$2,{"PT";"EN"},0),"Museu FIFA","FIFA Museum")</f>
        <v/>
      </c>
      <c r="E972" t="inlineStr">
        <is>
          <t>FWC10</t>
        </is>
      </c>
      <c r="F972" t="inlineStr">
        <is>
          <t>Uruguay 1950 - FIFA Museum FOIL</t>
        </is>
      </c>
      <c r="G972" t="inlineStr">
        <is>
          <t>FOIL</t>
        </is>
      </c>
      <c r="I972" t="n">
        <v>0</v>
      </c>
    </row>
    <row r="973">
      <c r="A973">
        <f>CHOOSE(MATCH(Config!$B$2,{"PT";"EN"},0),"Museu FIFA","FIFA Museum")</f>
        <v/>
      </c>
      <c r="E973" t="inlineStr">
        <is>
          <t>FWC11</t>
        </is>
      </c>
      <c r="F973" t="inlineStr">
        <is>
          <t>West Germany 1954 - FIFA Museum FOIL</t>
        </is>
      </c>
      <c r="G973" t="inlineStr">
        <is>
          <t>FOIL</t>
        </is>
      </c>
      <c r="I973" t="n">
        <v>0</v>
      </c>
    </row>
    <row r="974">
      <c r="A974">
        <f>CHOOSE(MATCH(Config!$B$2,{"PT";"EN"},0),"Museu FIFA","FIFA Museum")</f>
        <v/>
      </c>
      <c r="E974" t="inlineStr">
        <is>
          <t>FWC12</t>
        </is>
      </c>
      <c r="F974" t="inlineStr">
        <is>
          <t>Brazil 1962 - FIFA Museum FOIL</t>
        </is>
      </c>
      <c r="G974" t="inlineStr">
        <is>
          <t>FOIL</t>
        </is>
      </c>
      <c r="I974" t="n">
        <v>0</v>
      </c>
    </row>
    <row r="975">
      <c r="A975">
        <f>CHOOSE(MATCH(Config!$B$2,{"PT";"EN"},0),"Museu FIFA","FIFA Museum")</f>
        <v/>
      </c>
      <c r="E975" t="inlineStr">
        <is>
          <t>FWC13</t>
        </is>
      </c>
      <c r="F975" t="inlineStr">
        <is>
          <t>West Germany 1974 - FIFA Museum FOIL</t>
        </is>
      </c>
      <c r="G975" t="inlineStr">
        <is>
          <t>FOIL</t>
        </is>
      </c>
      <c r="I975" t="n">
        <v>0</v>
      </c>
    </row>
    <row r="976">
      <c r="A976">
        <f>CHOOSE(MATCH(Config!$B$2,{"PT";"EN"},0),"Museu FIFA","FIFA Museum")</f>
        <v/>
      </c>
      <c r="E976" t="inlineStr">
        <is>
          <t>FWC14</t>
        </is>
      </c>
      <c r="F976" t="inlineStr">
        <is>
          <t>Argentina 1986 - FIFA Museum FOIL</t>
        </is>
      </c>
      <c r="G976" t="inlineStr">
        <is>
          <t>FOIL</t>
        </is>
      </c>
      <c r="I976" t="n">
        <v>0</v>
      </c>
    </row>
    <row r="977">
      <c r="A977">
        <f>CHOOSE(MATCH(Config!$B$2,{"PT";"EN"},0),"Museu FIFA","FIFA Museum")</f>
        <v/>
      </c>
      <c r="E977" t="inlineStr">
        <is>
          <t>FWC15</t>
        </is>
      </c>
      <c r="F977" t="inlineStr">
        <is>
          <t>Brazil 1994 - FIFA Museum FOIL</t>
        </is>
      </c>
      <c r="G977" t="inlineStr">
        <is>
          <t>FOIL</t>
        </is>
      </c>
      <c r="I977" t="n">
        <v>0</v>
      </c>
    </row>
    <row r="978">
      <c r="A978">
        <f>CHOOSE(MATCH(Config!$B$2,{"PT";"EN"},0),"Museu FIFA","FIFA Museum")</f>
        <v/>
      </c>
      <c r="E978" t="inlineStr">
        <is>
          <t>FWC16</t>
        </is>
      </c>
      <c r="F978" t="inlineStr">
        <is>
          <t>Brazil 2002 - FIFA Museum FOIL</t>
        </is>
      </c>
      <c r="G978" t="inlineStr">
        <is>
          <t>FOIL</t>
        </is>
      </c>
      <c r="I978" t="n">
        <v>0</v>
      </c>
    </row>
    <row r="979">
      <c r="A979">
        <f>CHOOSE(MATCH(Config!$B$2,{"PT";"EN"},0),"Museu FIFA","FIFA Museum")</f>
        <v/>
      </c>
      <c r="E979" t="inlineStr">
        <is>
          <t>FWC17</t>
        </is>
      </c>
      <c r="F979" t="inlineStr">
        <is>
          <t>Italy 2006 - FIFA Museum FOIL</t>
        </is>
      </c>
      <c r="G979" t="inlineStr">
        <is>
          <t>FOIL</t>
        </is>
      </c>
      <c r="I979" t="n">
        <v>0</v>
      </c>
    </row>
    <row r="980">
      <c r="A980">
        <f>CHOOSE(MATCH(Config!$B$2,{"PT";"EN"},0),"Museu FIFA","FIFA Museum")</f>
        <v/>
      </c>
      <c r="E980" t="inlineStr">
        <is>
          <t>FWC18</t>
        </is>
      </c>
      <c r="F980" t="inlineStr">
        <is>
          <t>Germany 2014 - FIFA Museum FOIL</t>
        </is>
      </c>
      <c r="G980" t="inlineStr">
        <is>
          <t>FOIL</t>
        </is>
      </c>
      <c r="I980" t="n">
        <v>0</v>
      </c>
    </row>
    <row r="981">
      <c r="A981">
        <f>CHOOSE(MATCH(Config!$B$2,{"PT";"EN"},0),"Museu FIFA","FIFA Museum")</f>
        <v/>
      </c>
      <c r="E981" t="inlineStr">
        <is>
          <t>FWC19</t>
        </is>
      </c>
      <c r="F981" t="inlineStr">
        <is>
          <t>Argentina 2022 - FIFA Museum FOIL</t>
        </is>
      </c>
      <c r="G981" t="inlineStr">
        <is>
          <t>FOIL</t>
        </is>
      </c>
      <c r="I981" t="n">
        <v>0</v>
      </c>
    </row>
  </sheetData>
  <conditionalFormatting sqref="H2:H981">
    <cfRule type="expression" priority="1" dxfId="0">
      <formula>OR($H2="Sim",$H2="Yes")</formula>
    </cfRule>
    <cfRule type="expression" priority="2" dxfId="1">
      <formula>OR($H2="Não",$H2="No")</formula>
    </cfRule>
    <cfRule type="expression" priority="3" dxfId="2">
      <formula>OR($H2="Falta trocar",$H2="Need swap")</formula>
    </cfRule>
  </conditionalFormatting>
  <dataValidations count="1">
    <dataValidation sqref="H2:H981" showDropDown="0" showInputMessage="0" showErrorMessage="0" allowBlank="1" errorTitle="Lista" error="Escolha um valor da lista em Config." type="list">
      <formula1>Config!$D$1:$D$3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34D399"/>
    <outlinePr summaryBelow="1" summaryRight="1"/>
    <pageSetUpPr/>
  </sheetPr>
  <dimension ref="A1:I4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9" customWidth="1" min="4" max="4"/>
    <col width="8" customWidth="1" min="5" max="5"/>
    <col width="42" customWidth="1" min="6" max="6"/>
    <col width="22" customWidth="1" min="7" max="7"/>
    <col width="42" customWidth="1" min="8" max="8"/>
    <col width="10" customWidth="1" min="9" max="9"/>
  </cols>
  <sheetData>
    <row r="1" ht="28" customHeight="1">
      <c r="A1" s="25" t="inlineStr">
        <is>
          <t>Idx</t>
        </is>
      </c>
      <c r="B1" s="25" t="inlineStr">
        <is>
          <t>Nation</t>
        </is>
      </c>
      <c r="C1" s="25" t="inlineStr">
        <is>
          <t>Abbr</t>
        </is>
      </c>
      <c r="D1" s="25" t="inlineStr">
        <is>
          <t>Group</t>
        </is>
      </c>
      <c r="E1" s="25" t="inlineStr">
        <is>
          <t>Goal</t>
        </is>
      </c>
      <c r="F1" s="25" t="inlineStr">
        <is>
          <t>Got</t>
        </is>
      </c>
      <c r="G1" s="25" t="inlineStr">
        <is>
          <t>Pct</t>
        </is>
      </c>
      <c r="H1" s="25" t="inlineStr">
        <is>
          <t>Prog</t>
        </is>
      </c>
      <c r="I1" s="25" t="inlineStr">
        <is>
          <t>Left</t>
        </is>
      </c>
    </row>
    <row r="2" ht="21" customHeight="1">
      <c r="A2" t="n">
        <v>1</v>
      </c>
      <c r="B2" t="inlineStr">
        <is>
          <t>Mexico</t>
        </is>
      </c>
      <c r="C2" t="inlineStr">
        <is>
          <t>MEX</t>
        </is>
      </c>
      <c r="D2" t="inlineStr">
        <is>
          <t>Grupo A</t>
        </is>
      </c>
      <c r="E2" t="n">
        <v>20</v>
      </c>
      <c r="F2">
        <f>SUM(COUNTIFS(tblSelecoes[Abbr],C2,tblSelecoes[Status],"Sim"),COUNTIFS(tblSelecoes[Abbr],C2,tblSelecoes[Status],"Yes"))</f>
        <v/>
      </c>
      <c r="G2" s="26">
        <f>IF(E2&gt;0,F2/E2,0)</f>
        <v/>
      </c>
      <c r="H2">
        <f>REPT("█",MIN(14,MAX(0,ROUND(G2*14,0))))&amp;REPT("░",14-MIN(14,MAX(0,ROUND(G2*14,0))))</f>
        <v/>
      </c>
      <c r="I2">
        <f>E2-F2</f>
        <v/>
      </c>
    </row>
    <row r="3" ht="21" customHeight="1">
      <c r="A3" t="n">
        <v>2</v>
      </c>
      <c r="B3" t="inlineStr">
        <is>
          <t>South Africa</t>
        </is>
      </c>
      <c r="C3" t="inlineStr">
        <is>
          <t>RSA</t>
        </is>
      </c>
      <c r="D3" t="inlineStr">
        <is>
          <t>Grupo A</t>
        </is>
      </c>
      <c r="E3" t="n">
        <v>20</v>
      </c>
      <c r="F3">
        <f>SUM(COUNTIFS(tblSelecoes[Abbr],C3,tblSelecoes[Status],"Sim"),COUNTIFS(tblSelecoes[Abbr],C3,tblSelecoes[Status],"Yes"))</f>
        <v/>
      </c>
      <c r="G3" s="26">
        <f>IF(E3&gt;0,F3/E3,0)</f>
        <v/>
      </c>
      <c r="H3">
        <f>REPT("█",MIN(14,MAX(0,ROUND(G3*14,0))))&amp;REPT("░",14-MIN(14,MAX(0,ROUND(G3*14,0))))</f>
        <v/>
      </c>
      <c r="I3">
        <f>E3-F3</f>
        <v/>
      </c>
    </row>
    <row r="4" ht="21" customHeight="1">
      <c r="A4" t="n">
        <v>3</v>
      </c>
      <c r="B4" t="inlineStr">
        <is>
          <t>South Korea</t>
        </is>
      </c>
      <c r="C4" t="inlineStr">
        <is>
          <t>KOR</t>
        </is>
      </c>
      <c r="D4" t="inlineStr">
        <is>
          <t>Grupo A</t>
        </is>
      </c>
      <c r="E4" t="n">
        <v>20</v>
      </c>
      <c r="F4">
        <f>SUM(COUNTIFS(tblSelecoes[Abbr],C4,tblSelecoes[Status],"Sim"),COUNTIFS(tblSelecoes[Abbr],C4,tblSelecoes[Status],"Yes"))</f>
        <v/>
      </c>
      <c r="G4" s="26">
        <f>IF(E4&gt;0,F4/E4,0)</f>
        <v/>
      </c>
      <c r="H4">
        <f>REPT("█",MIN(14,MAX(0,ROUND(G4*14,0))))&amp;REPT("░",14-MIN(14,MAX(0,ROUND(G4*14,0))))</f>
        <v/>
      </c>
      <c r="I4">
        <f>E4-F4</f>
        <v/>
      </c>
    </row>
    <row r="5" ht="21" customHeight="1">
      <c r="A5" t="n">
        <v>4</v>
      </c>
      <c r="B5" t="inlineStr">
        <is>
          <t>Czechia</t>
        </is>
      </c>
      <c r="C5" t="inlineStr">
        <is>
          <t>CZE</t>
        </is>
      </c>
      <c r="D5" t="inlineStr">
        <is>
          <t>Grupo A</t>
        </is>
      </c>
      <c r="E5" t="n">
        <v>20</v>
      </c>
      <c r="F5">
        <f>SUM(COUNTIFS(tblSelecoes[Abbr],C5,tblSelecoes[Status],"Sim"),COUNTIFS(tblSelecoes[Abbr],C5,tblSelecoes[Status],"Yes"))</f>
        <v/>
      </c>
      <c r="G5" s="26">
        <f>IF(E5&gt;0,F5/E5,0)</f>
        <v/>
      </c>
      <c r="H5">
        <f>REPT("█",MIN(14,MAX(0,ROUND(G5*14,0))))&amp;REPT("░",14-MIN(14,MAX(0,ROUND(G5*14,0))))</f>
        <v/>
      </c>
      <c r="I5">
        <f>E5-F5</f>
        <v/>
      </c>
    </row>
    <row r="6" ht="21" customHeight="1">
      <c r="A6" t="n">
        <v>5</v>
      </c>
      <c r="B6" t="inlineStr">
        <is>
          <t>Canada</t>
        </is>
      </c>
      <c r="C6" t="inlineStr">
        <is>
          <t>CAN</t>
        </is>
      </c>
      <c r="D6" t="inlineStr">
        <is>
          <t>Grupo B</t>
        </is>
      </c>
      <c r="E6" t="n">
        <v>20</v>
      </c>
      <c r="F6">
        <f>SUM(COUNTIFS(tblSelecoes[Abbr],C6,tblSelecoes[Status],"Sim"),COUNTIFS(tblSelecoes[Abbr],C6,tblSelecoes[Status],"Yes"))</f>
        <v/>
      </c>
      <c r="G6" s="26">
        <f>IF(E6&gt;0,F6/E6,0)</f>
        <v/>
      </c>
      <c r="H6">
        <f>REPT("█",MIN(14,MAX(0,ROUND(G6*14,0))))&amp;REPT("░",14-MIN(14,MAX(0,ROUND(G6*14,0))))</f>
        <v/>
      </c>
      <c r="I6">
        <f>E6-F6</f>
        <v/>
      </c>
    </row>
    <row r="7" ht="21" customHeight="1">
      <c r="A7" t="n">
        <v>6</v>
      </c>
      <c r="B7" t="inlineStr">
        <is>
          <t>Bosnia and Herzegovina</t>
        </is>
      </c>
      <c r="C7" t="inlineStr">
        <is>
          <t>BIH</t>
        </is>
      </c>
      <c r="D7" t="inlineStr">
        <is>
          <t>Grupo B</t>
        </is>
      </c>
      <c r="E7" t="n">
        <v>20</v>
      </c>
      <c r="F7">
        <f>SUM(COUNTIFS(tblSelecoes[Abbr],C7,tblSelecoes[Status],"Sim"),COUNTIFS(tblSelecoes[Abbr],C7,tblSelecoes[Status],"Yes"))</f>
        <v/>
      </c>
      <c r="G7" s="26">
        <f>IF(E7&gt;0,F7/E7,0)</f>
        <v/>
      </c>
      <c r="H7">
        <f>REPT("█",MIN(14,MAX(0,ROUND(G7*14,0))))&amp;REPT("░",14-MIN(14,MAX(0,ROUND(G7*14,0))))</f>
        <v/>
      </c>
      <c r="I7">
        <f>E7-F7</f>
        <v/>
      </c>
    </row>
    <row r="8" ht="21" customHeight="1">
      <c r="A8" t="n">
        <v>7</v>
      </c>
      <c r="B8" t="inlineStr">
        <is>
          <t>Qatar</t>
        </is>
      </c>
      <c r="C8" t="inlineStr">
        <is>
          <t>QAT</t>
        </is>
      </c>
      <c r="D8" t="inlineStr">
        <is>
          <t>Grupo B</t>
        </is>
      </c>
      <c r="E8" t="n">
        <v>20</v>
      </c>
      <c r="F8">
        <f>SUM(COUNTIFS(tblSelecoes[Abbr],C8,tblSelecoes[Status],"Sim"),COUNTIFS(tblSelecoes[Abbr],C8,tblSelecoes[Status],"Yes"))</f>
        <v/>
      </c>
      <c r="G8" s="26">
        <f>IF(E8&gt;0,F8/E8,0)</f>
        <v/>
      </c>
      <c r="H8">
        <f>REPT("█",MIN(14,MAX(0,ROUND(G8*14,0))))&amp;REPT("░",14-MIN(14,MAX(0,ROUND(G8*14,0))))</f>
        <v/>
      </c>
      <c r="I8">
        <f>E8-F8</f>
        <v/>
      </c>
    </row>
    <row r="9" ht="21" customHeight="1">
      <c r="A9" t="n">
        <v>8</v>
      </c>
      <c r="B9" t="inlineStr">
        <is>
          <t>Switzerland</t>
        </is>
      </c>
      <c r="C9" t="inlineStr">
        <is>
          <t>SUI</t>
        </is>
      </c>
      <c r="D9" t="inlineStr">
        <is>
          <t>Grupo B</t>
        </is>
      </c>
      <c r="E9" t="n">
        <v>20</v>
      </c>
      <c r="F9">
        <f>SUM(COUNTIFS(tblSelecoes[Abbr],C9,tblSelecoes[Status],"Sim"),COUNTIFS(tblSelecoes[Abbr],C9,tblSelecoes[Status],"Yes"))</f>
        <v/>
      </c>
      <c r="G9" s="26">
        <f>IF(E9&gt;0,F9/E9,0)</f>
        <v/>
      </c>
      <c r="H9">
        <f>REPT("█",MIN(14,MAX(0,ROUND(G9*14,0))))&amp;REPT("░",14-MIN(14,MAX(0,ROUND(G9*14,0))))</f>
        <v/>
      </c>
      <c r="I9">
        <f>E9-F9</f>
        <v/>
      </c>
    </row>
    <row r="10" ht="21" customHeight="1">
      <c r="A10" t="n">
        <v>9</v>
      </c>
      <c r="B10" t="inlineStr">
        <is>
          <t>Brazil</t>
        </is>
      </c>
      <c r="C10" t="inlineStr">
        <is>
          <t>BRA</t>
        </is>
      </c>
      <c r="D10" t="inlineStr">
        <is>
          <t>Grupo C</t>
        </is>
      </c>
      <c r="E10" t="n">
        <v>20</v>
      </c>
      <c r="F10">
        <f>SUM(COUNTIFS(tblSelecoes[Abbr],C10,tblSelecoes[Status],"Sim"),COUNTIFS(tblSelecoes[Abbr],C10,tblSelecoes[Status],"Yes"))</f>
        <v/>
      </c>
      <c r="G10" s="26">
        <f>IF(E10&gt;0,F10/E10,0)</f>
        <v/>
      </c>
      <c r="H10">
        <f>REPT("█",MIN(14,MAX(0,ROUND(G10*14,0))))&amp;REPT("░",14-MIN(14,MAX(0,ROUND(G10*14,0))))</f>
        <v/>
      </c>
      <c r="I10">
        <f>E10-F10</f>
        <v/>
      </c>
    </row>
    <row r="11" ht="21" customHeight="1">
      <c r="A11" t="n">
        <v>10</v>
      </c>
      <c r="B11" t="inlineStr">
        <is>
          <t>Morocco</t>
        </is>
      </c>
      <c r="C11" t="inlineStr">
        <is>
          <t>MAR</t>
        </is>
      </c>
      <c r="D11" t="inlineStr">
        <is>
          <t>Grupo C</t>
        </is>
      </c>
      <c r="E11" t="n">
        <v>20</v>
      </c>
      <c r="F11">
        <f>SUM(COUNTIFS(tblSelecoes[Abbr],C11,tblSelecoes[Status],"Sim"),COUNTIFS(tblSelecoes[Abbr],C11,tblSelecoes[Status],"Yes"))</f>
        <v/>
      </c>
      <c r="G11" s="26">
        <f>IF(E11&gt;0,F11/E11,0)</f>
        <v/>
      </c>
      <c r="H11">
        <f>REPT("█",MIN(14,MAX(0,ROUND(G11*14,0))))&amp;REPT("░",14-MIN(14,MAX(0,ROUND(G11*14,0))))</f>
        <v/>
      </c>
      <c r="I11">
        <f>E11-F11</f>
        <v/>
      </c>
    </row>
    <row r="12" ht="21" customHeight="1">
      <c r="A12" t="n">
        <v>11</v>
      </c>
      <c r="B12" t="inlineStr">
        <is>
          <t>Haiti</t>
        </is>
      </c>
      <c r="C12" t="inlineStr">
        <is>
          <t>HAI</t>
        </is>
      </c>
      <c r="D12" t="inlineStr">
        <is>
          <t>Grupo C</t>
        </is>
      </c>
      <c r="E12" t="n">
        <v>20</v>
      </c>
      <c r="F12">
        <f>SUM(COUNTIFS(tblSelecoes[Abbr],C12,tblSelecoes[Status],"Sim"),COUNTIFS(tblSelecoes[Abbr],C12,tblSelecoes[Status],"Yes"))</f>
        <v/>
      </c>
      <c r="G12" s="26">
        <f>IF(E12&gt;0,F12/E12,0)</f>
        <v/>
      </c>
      <c r="H12">
        <f>REPT("█",MIN(14,MAX(0,ROUND(G12*14,0))))&amp;REPT("░",14-MIN(14,MAX(0,ROUND(G12*14,0))))</f>
        <v/>
      </c>
      <c r="I12">
        <f>E12-F12</f>
        <v/>
      </c>
    </row>
    <row r="13" ht="21" customHeight="1">
      <c r="A13" t="n">
        <v>12</v>
      </c>
      <c r="B13" t="inlineStr">
        <is>
          <t>Scotland</t>
        </is>
      </c>
      <c r="C13" t="inlineStr">
        <is>
          <t>SCO</t>
        </is>
      </c>
      <c r="D13" t="inlineStr">
        <is>
          <t>Grupo C</t>
        </is>
      </c>
      <c r="E13" t="n">
        <v>20</v>
      </c>
      <c r="F13">
        <f>SUM(COUNTIFS(tblSelecoes[Abbr],C13,tblSelecoes[Status],"Sim"),COUNTIFS(tblSelecoes[Abbr],C13,tblSelecoes[Status],"Yes"))</f>
        <v/>
      </c>
      <c r="G13" s="26">
        <f>IF(E13&gt;0,F13/E13,0)</f>
        <v/>
      </c>
      <c r="H13">
        <f>REPT("█",MIN(14,MAX(0,ROUND(G13*14,0))))&amp;REPT("░",14-MIN(14,MAX(0,ROUND(G13*14,0))))</f>
        <v/>
      </c>
      <c r="I13">
        <f>E13-F13</f>
        <v/>
      </c>
    </row>
    <row r="14" ht="21" customHeight="1">
      <c r="A14" t="n">
        <v>13</v>
      </c>
      <c r="B14" t="inlineStr">
        <is>
          <t>USA</t>
        </is>
      </c>
      <c r="C14" t="inlineStr">
        <is>
          <t>USA</t>
        </is>
      </c>
      <c r="D14" t="inlineStr">
        <is>
          <t>Grupo D</t>
        </is>
      </c>
      <c r="E14" t="n">
        <v>20</v>
      </c>
      <c r="F14">
        <f>SUM(COUNTIFS(tblSelecoes[Abbr],C14,tblSelecoes[Status],"Sim"),COUNTIFS(tblSelecoes[Abbr],C14,tblSelecoes[Status],"Yes"))</f>
        <v/>
      </c>
      <c r="G14" s="26">
        <f>IF(E14&gt;0,F14/E14,0)</f>
        <v/>
      </c>
      <c r="H14">
        <f>REPT("█",MIN(14,MAX(0,ROUND(G14*14,0))))&amp;REPT("░",14-MIN(14,MAX(0,ROUND(G14*14,0))))</f>
        <v/>
      </c>
      <c r="I14">
        <f>E14-F14</f>
        <v/>
      </c>
    </row>
    <row r="15" ht="21" customHeight="1">
      <c r="A15" t="n">
        <v>14</v>
      </c>
      <c r="B15" t="inlineStr">
        <is>
          <t>Paraguay</t>
        </is>
      </c>
      <c r="C15" t="inlineStr">
        <is>
          <t>PAR</t>
        </is>
      </c>
      <c r="D15" t="inlineStr">
        <is>
          <t>Grupo D</t>
        </is>
      </c>
      <c r="E15" t="n">
        <v>20</v>
      </c>
      <c r="F15">
        <f>SUM(COUNTIFS(tblSelecoes[Abbr],C15,tblSelecoes[Status],"Sim"),COUNTIFS(tblSelecoes[Abbr],C15,tblSelecoes[Status],"Yes"))</f>
        <v/>
      </c>
      <c r="G15" s="26">
        <f>IF(E15&gt;0,F15/E15,0)</f>
        <v/>
      </c>
      <c r="H15">
        <f>REPT("█",MIN(14,MAX(0,ROUND(G15*14,0))))&amp;REPT("░",14-MIN(14,MAX(0,ROUND(G15*14,0))))</f>
        <v/>
      </c>
      <c r="I15">
        <f>E15-F15</f>
        <v/>
      </c>
    </row>
    <row r="16" ht="21" customHeight="1">
      <c r="A16" t="n">
        <v>15</v>
      </c>
      <c r="B16" t="inlineStr">
        <is>
          <t>Australia</t>
        </is>
      </c>
      <c r="C16" t="inlineStr">
        <is>
          <t>AUS</t>
        </is>
      </c>
      <c r="D16" t="inlineStr">
        <is>
          <t>Grupo D</t>
        </is>
      </c>
      <c r="E16" t="n">
        <v>20</v>
      </c>
      <c r="F16">
        <f>SUM(COUNTIFS(tblSelecoes[Abbr],C16,tblSelecoes[Status],"Sim"),COUNTIFS(tblSelecoes[Abbr],C16,tblSelecoes[Status],"Yes"))</f>
        <v/>
      </c>
      <c r="G16" s="26">
        <f>IF(E16&gt;0,F16/E16,0)</f>
        <v/>
      </c>
      <c r="H16">
        <f>REPT("█",MIN(14,MAX(0,ROUND(G16*14,0))))&amp;REPT("░",14-MIN(14,MAX(0,ROUND(G16*14,0))))</f>
        <v/>
      </c>
      <c r="I16">
        <f>E16-F16</f>
        <v/>
      </c>
    </row>
    <row r="17" ht="21" customHeight="1">
      <c r="A17" t="n">
        <v>16</v>
      </c>
      <c r="B17" t="inlineStr">
        <is>
          <t>Türkiye</t>
        </is>
      </c>
      <c r="C17" t="inlineStr">
        <is>
          <t>TUR</t>
        </is>
      </c>
      <c r="D17" t="inlineStr">
        <is>
          <t>Grupo D</t>
        </is>
      </c>
      <c r="E17" t="n">
        <v>20</v>
      </c>
      <c r="F17">
        <f>SUM(COUNTIFS(tblSelecoes[Abbr],C17,tblSelecoes[Status],"Sim"),COUNTIFS(tblSelecoes[Abbr],C17,tblSelecoes[Status],"Yes"))</f>
        <v/>
      </c>
      <c r="G17" s="26">
        <f>IF(E17&gt;0,F17/E17,0)</f>
        <v/>
      </c>
      <c r="H17">
        <f>REPT("█",MIN(14,MAX(0,ROUND(G17*14,0))))&amp;REPT("░",14-MIN(14,MAX(0,ROUND(G17*14,0))))</f>
        <v/>
      </c>
      <c r="I17">
        <f>E17-F17</f>
        <v/>
      </c>
    </row>
    <row r="18" ht="21" customHeight="1">
      <c r="A18" t="n">
        <v>17</v>
      </c>
      <c r="B18" t="inlineStr">
        <is>
          <t>Germany</t>
        </is>
      </c>
      <c r="C18" t="inlineStr">
        <is>
          <t>GER</t>
        </is>
      </c>
      <c r="D18" t="inlineStr">
        <is>
          <t>Grupo E</t>
        </is>
      </c>
      <c r="E18" t="n">
        <v>20</v>
      </c>
      <c r="F18">
        <f>SUM(COUNTIFS(tblSelecoes[Abbr],C18,tblSelecoes[Status],"Sim"),COUNTIFS(tblSelecoes[Abbr],C18,tblSelecoes[Status],"Yes"))</f>
        <v/>
      </c>
      <c r="G18" s="26">
        <f>IF(E18&gt;0,F18/E18,0)</f>
        <v/>
      </c>
      <c r="H18">
        <f>REPT("█",MIN(14,MAX(0,ROUND(G18*14,0))))&amp;REPT("░",14-MIN(14,MAX(0,ROUND(G18*14,0))))</f>
        <v/>
      </c>
      <c r="I18">
        <f>E18-F18</f>
        <v/>
      </c>
    </row>
    <row r="19" ht="21" customHeight="1">
      <c r="A19" t="n">
        <v>18</v>
      </c>
      <c r="B19" t="inlineStr">
        <is>
          <t>Curaçao</t>
        </is>
      </c>
      <c r="C19" t="inlineStr">
        <is>
          <t>CUW</t>
        </is>
      </c>
      <c r="D19" t="inlineStr">
        <is>
          <t>Grupo E</t>
        </is>
      </c>
      <c r="E19" t="n">
        <v>20</v>
      </c>
      <c r="F19">
        <f>SUM(COUNTIFS(tblSelecoes[Abbr],C19,tblSelecoes[Status],"Sim"),COUNTIFS(tblSelecoes[Abbr],C19,tblSelecoes[Status],"Yes"))</f>
        <v/>
      </c>
      <c r="G19" s="26">
        <f>IF(E19&gt;0,F19/E19,0)</f>
        <v/>
      </c>
      <c r="H19">
        <f>REPT("█",MIN(14,MAX(0,ROUND(G19*14,0))))&amp;REPT("░",14-MIN(14,MAX(0,ROUND(G19*14,0))))</f>
        <v/>
      </c>
      <c r="I19">
        <f>E19-F19</f>
        <v/>
      </c>
    </row>
    <row r="20" ht="21" customHeight="1">
      <c r="A20" t="n">
        <v>19</v>
      </c>
      <c r="B20" t="inlineStr">
        <is>
          <t>Ivory Coast</t>
        </is>
      </c>
      <c r="C20" t="inlineStr">
        <is>
          <t>CIV</t>
        </is>
      </c>
      <c r="D20" t="inlineStr">
        <is>
          <t>Grupo E</t>
        </is>
      </c>
      <c r="E20" t="n">
        <v>20</v>
      </c>
      <c r="F20">
        <f>SUM(COUNTIFS(tblSelecoes[Abbr],C20,tblSelecoes[Status],"Sim"),COUNTIFS(tblSelecoes[Abbr],C20,tblSelecoes[Status],"Yes"))</f>
        <v/>
      </c>
      <c r="G20" s="26">
        <f>IF(E20&gt;0,F20/E20,0)</f>
        <v/>
      </c>
      <c r="H20">
        <f>REPT("█",MIN(14,MAX(0,ROUND(G20*14,0))))&amp;REPT("░",14-MIN(14,MAX(0,ROUND(G20*14,0))))</f>
        <v/>
      </c>
      <c r="I20">
        <f>E20-F20</f>
        <v/>
      </c>
    </row>
    <row r="21" ht="21" customHeight="1">
      <c r="A21" t="n">
        <v>20</v>
      </c>
      <c r="B21" t="inlineStr">
        <is>
          <t>Ecuador</t>
        </is>
      </c>
      <c r="C21" t="inlineStr">
        <is>
          <t>ECU</t>
        </is>
      </c>
      <c r="D21" t="inlineStr">
        <is>
          <t>Grupo E</t>
        </is>
      </c>
      <c r="E21" t="n">
        <v>20</v>
      </c>
      <c r="F21">
        <f>SUM(COUNTIFS(tblSelecoes[Abbr],C21,tblSelecoes[Status],"Sim"),COUNTIFS(tblSelecoes[Abbr],C21,tblSelecoes[Status],"Yes"))</f>
        <v/>
      </c>
      <c r="G21" s="26">
        <f>IF(E21&gt;0,F21/E21,0)</f>
        <v/>
      </c>
      <c r="H21">
        <f>REPT("█",MIN(14,MAX(0,ROUND(G21*14,0))))&amp;REPT("░",14-MIN(14,MAX(0,ROUND(G21*14,0))))</f>
        <v/>
      </c>
      <c r="I21">
        <f>E21-F21</f>
        <v/>
      </c>
    </row>
    <row r="22" ht="21" customHeight="1">
      <c r="A22" t="n">
        <v>21</v>
      </c>
      <c r="B22" t="inlineStr">
        <is>
          <t>Netherlands</t>
        </is>
      </c>
      <c r="C22" t="inlineStr">
        <is>
          <t>NED</t>
        </is>
      </c>
      <c r="D22" t="inlineStr">
        <is>
          <t>Grupo F</t>
        </is>
      </c>
      <c r="E22" t="n">
        <v>20</v>
      </c>
      <c r="F22">
        <f>SUM(COUNTIFS(tblSelecoes[Abbr],C22,tblSelecoes[Status],"Sim"),COUNTIFS(tblSelecoes[Abbr],C22,tblSelecoes[Status],"Yes"))</f>
        <v/>
      </c>
      <c r="G22" s="26">
        <f>IF(E22&gt;0,F22/E22,0)</f>
        <v/>
      </c>
      <c r="H22">
        <f>REPT("█",MIN(14,MAX(0,ROUND(G22*14,0))))&amp;REPT("░",14-MIN(14,MAX(0,ROUND(G22*14,0))))</f>
        <v/>
      </c>
      <c r="I22">
        <f>E22-F22</f>
        <v/>
      </c>
    </row>
    <row r="23" ht="21" customHeight="1">
      <c r="A23" t="n">
        <v>22</v>
      </c>
      <c r="B23" t="inlineStr">
        <is>
          <t>Japan</t>
        </is>
      </c>
      <c r="C23" t="inlineStr">
        <is>
          <t>JPN</t>
        </is>
      </c>
      <c r="D23" t="inlineStr">
        <is>
          <t>Grupo F</t>
        </is>
      </c>
      <c r="E23" t="n">
        <v>20</v>
      </c>
      <c r="F23">
        <f>SUM(COUNTIFS(tblSelecoes[Abbr],C23,tblSelecoes[Status],"Sim"),COUNTIFS(tblSelecoes[Abbr],C23,tblSelecoes[Status],"Yes"))</f>
        <v/>
      </c>
      <c r="G23" s="26">
        <f>IF(E23&gt;0,F23/E23,0)</f>
        <v/>
      </c>
      <c r="H23">
        <f>REPT("█",MIN(14,MAX(0,ROUND(G23*14,0))))&amp;REPT("░",14-MIN(14,MAX(0,ROUND(G23*14,0))))</f>
        <v/>
      </c>
      <c r="I23">
        <f>E23-F23</f>
        <v/>
      </c>
    </row>
    <row r="24" ht="21" customHeight="1">
      <c r="A24" t="n">
        <v>23</v>
      </c>
      <c r="B24" t="inlineStr">
        <is>
          <t>Sweden</t>
        </is>
      </c>
      <c r="C24" t="inlineStr">
        <is>
          <t>SWE</t>
        </is>
      </c>
      <c r="D24" t="inlineStr">
        <is>
          <t>Grupo F</t>
        </is>
      </c>
      <c r="E24" t="n">
        <v>20</v>
      </c>
      <c r="F24">
        <f>SUM(COUNTIFS(tblSelecoes[Abbr],C24,tblSelecoes[Status],"Sim"),COUNTIFS(tblSelecoes[Abbr],C24,tblSelecoes[Status],"Yes"))</f>
        <v/>
      </c>
      <c r="G24" s="26">
        <f>IF(E24&gt;0,F24/E24,0)</f>
        <v/>
      </c>
      <c r="H24">
        <f>REPT("█",MIN(14,MAX(0,ROUND(G24*14,0))))&amp;REPT("░",14-MIN(14,MAX(0,ROUND(G24*14,0))))</f>
        <v/>
      </c>
      <c r="I24">
        <f>E24-F24</f>
        <v/>
      </c>
    </row>
    <row r="25" ht="21" customHeight="1">
      <c r="A25" t="n">
        <v>24</v>
      </c>
      <c r="B25" t="inlineStr">
        <is>
          <t>Tunisia</t>
        </is>
      </c>
      <c r="C25" t="inlineStr">
        <is>
          <t>TUN</t>
        </is>
      </c>
      <c r="D25" t="inlineStr">
        <is>
          <t>Grupo F</t>
        </is>
      </c>
      <c r="E25" t="n">
        <v>20</v>
      </c>
      <c r="F25">
        <f>SUM(COUNTIFS(tblSelecoes[Abbr],C25,tblSelecoes[Status],"Sim"),COUNTIFS(tblSelecoes[Abbr],C25,tblSelecoes[Status],"Yes"))</f>
        <v/>
      </c>
      <c r="G25" s="26">
        <f>IF(E25&gt;0,F25/E25,0)</f>
        <v/>
      </c>
      <c r="H25">
        <f>REPT("█",MIN(14,MAX(0,ROUND(G25*14,0))))&amp;REPT("░",14-MIN(14,MAX(0,ROUND(G25*14,0))))</f>
        <v/>
      </c>
      <c r="I25">
        <f>E25-F25</f>
        <v/>
      </c>
    </row>
    <row r="26" ht="21" customHeight="1">
      <c r="A26" t="n">
        <v>25</v>
      </c>
      <c r="B26" t="inlineStr">
        <is>
          <t>Belgium</t>
        </is>
      </c>
      <c r="C26" t="inlineStr">
        <is>
          <t>BEL</t>
        </is>
      </c>
      <c r="D26" t="inlineStr">
        <is>
          <t>Grupo G</t>
        </is>
      </c>
      <c r="E26" t="n">
        <v>20</v>
      </c>
      <c r="F26">
        <f>SUM(COUNTIFS(tblSelecoes[Abbr],C26,tblSelecoes[Status],"Sim"),COUNTIFS(tblSelecoes[Abbr],C26,tblSelecoes[Status],"Yes"))</f>
        <v/>
      </c>
      <c r="G26" s="26">
        <f>IF(E26&gt;0,F26/E26,0)</f>
        <v/>
      </c>
      <c r="H26">
        <f>REPT("█",MIN(14,MAX(0,ROUND(G26*14,0))))&amp;REPT("░",14-MIN(14,MAX(0,ROUND(G26*14,0))))</f>
        <v/>
      </c>
      <c r="I26">
        <f>E26-F26</f>
        <v/>
      </c>
    </row>
    <row r="27" ht="21" customHeight="1">
      <c r="A27" t="n">
        <v>26</v>
      </c>
      <c r="B27" t="inlineStr">
        <is>
          <t>Egypt</t>
        </is>
      </c>
      <c r="C27" t="inlineStr">
        <is>
          <t>EGY</t>
        </is>
      </c>
      <c r="D27" t="inlineStr">
        <is>
          <t>Grupo G</t>
        </is>
      </c>
      <c r="E27" t="n">
        <v>20</v>
      </c>
      <c r="F27">
        <f>SUM(COUNTIFS(tblSelecoes[Abbr],C27,tblSelecoes[Status],"Sim"),COUNTIFS(tblSelecoes[Abbr],C27,tblSelecoes[Status],"Yes"))</f>
        <v/>
      </c>
      <c r="G27" s="26">
        <f>IF(E27&gt;0,F27/E27,0)</f>
        <v/>
      </c>
      <c r="H27">
        <f>REPT("█",MIN(14,MAX(0,ROUND(G27*14,0))))&amp;REPT("░",14-MIN(14,MAX(0,ROUND(G27*14,0))))</f>
        <v/>
      </c>
      <c r="I27">
        <f>E27-F27</f>
        <v/>
      </c>
    </row>
    <row r="28" ht="21" customHeight="1">
      <c r="A28" t="n">
        <v>27</v>
      </c>
      <c r="B28" t="inlineStr">
        <is>
          <t>Iran</t>
        </is>
      </c>
      <c r="C28" t="inlineStr">
        <is>
          <t>IRN</t>
        </is>
      </c>
      <c r="D28" t="inlineStr">
        <is>
          <t>Grupo G</t>
        </is>
      </c>
      <c r="E28" t="n">
        <v>20</v>
      </c>
      <c r="F28">
        <f>SUM(COUNTIFS(tblSelecoes[Abbr],C28,tblSelecoes[Status],"Sim"),COUNTIFS(tblSelecoes[Abbr],C28,tblSelecoes[Status],"Yes"))</f>
        <v/>
      </c>
      <c r="G28" s="26">
        <f>IF(E28&gt;0,F28/E28,0)</f>
        <v/>
      </c>
      <c r="H28">
        <f>REPT("█",MIN(14,MAX(0,ROUND(G28*14,0))))&amp;REPT("░",14-MIN(14,MAX(0,ROUND(G28*14,0))))</f>
        <v/>
      </c>
      <c r="I28">
        <f>E28-F28</f>
        <v/>
      </c>
    </row>
    <row r="29" ht="21" customHeight="1">
      <c r="A29" t="n">
        <v>28</v>
      </c>
      <c r="B29" t="inlineStr">
        <is>
          <t>New Zealand</t>
        </is>
      </c>
      <c r="C29" t="inlineStr">
        <is>
          <t>NZL</t>
        </is>
      </c>
      <c r="D29" t="inlineStr">
        <is>
          <t>Grupo G</t>
        </is>
      </c>
      <c r="E29" t="n">
        <v>20</v>
      </c>
      <c r="F29">
        <f>SUM(COUNTIFS(tblSelecoes[Abbr],C29,tblSelecoes[Status],"Sim"),COUNTIFS(tblSelecoes[Abbr],C29,tblSelecoes[Status],"Yes"))</f>
        <v/>
      </c>
      <c r="G29" s="26">
        <f>IF(E29&gt;0,F29/E29,0)</f>
        <v/>
      </c>
      <c r="H29">
        <f>REPT("█",MIN(14,MAX(0,ROUND(G29*14,0))))&amp;REPT("░",14-MIN(14,MAX(0,ROUND(G29*14,0))))</f>
        <v/>
      </c>
      <c r="I29">
        <f>E29-F29</f>
        <v/>
      </c>
    </row>
    <row r="30" ht="21" customHeight="1">
      <c r="A30" t="n">
        <v>29</v>
      </c>
      <c r="B30" t="inlineStr">
        <is>
          <t>Spain</t>
        </is>
      </c>
      <c r="C30" t="inlineStr">
        <is>
          <t>ESP</t>
        </is>
      </c>
      <c r="D30" t="inlineStr">
        <is>
          <t>Grupo H</t>
        </is>
      </c>
      <c r="E30" t="n">
        <v>20</v>
      </c>
      <c r="F30">
        <f>SUM(COUNTIFS(tblSelecoes[Abbr],C30,tblSelecoes[Status],"Sim"),COUNTIFS(tblSelecoes[Abbr],C30,tblSelecoes[Status],"Yes"))</f>
        <v/>
      </c>
      <c r="G30" s="26">
        <f>IF(E30&gt;0,F30/E30,0)</f>
        <v/>
      </c>
      <c r="H30">
        <f>REPT("█",MIN(14,MAX(0,ROUND(G30*14,0))))&amp;REPT("░",14-MIN(14,MAX(0,ROUND(G30*14,0))))</f>
        <v/>
      </c>
      <c r="I30">
        <f>E30-F30</f>
        <v/>
      </c>
    </row>
    <row r="31" ht="21" customHeight="1">
      <c r="A31" t="n">
        <v>30</v>
      </c>
      <c r="B31" t="inlineStr">
        <is>
          <t>Cape Verde</t>
        </is>
      </c>
      <c r="C31" t="inlineStr">
        <is>
          <t>CPV</t>
        </is>
      </c>
      <c r="D31" t="inlineStr">
        <is>
          <t>Grupo H</t>
        </is>
      </c>
      <c r="E31" t="n">
        <v>20</v>
      </c>
      <c r="F31">
        <f>SUM(COUNTIFS(tblSelecoes[Abbr],C31,tblSelecoes[Status],"Sim"),COUNTIFS(tblSelecoes[Abbr],C31,tblSelecoes[Status],"Yes"))</f>
        <v/>
      </c>
      <c r="G31" s="26">
        <f>IF(E31&gt;0,F31/E31,0)</f>
        <v/>
      </c>
      <c r="H31">
        <f>REPT("█",MIN(14,MAX(0,ROUND(G31*14,0))))&amp;REPT("░",14-MIN(14,MAX(0,ROUND(G31*14,0))))</f>
        <v/>
      </c>
      <c r="I31">
        <f>E31-F31</f>
        <v/>
      </c>
    </row>
    <row r="32" ht="21" customHeight="1">
      <c r="A32" t="n">
        <v>31</v>
      </c>
      <c r="B32" t="inlineStr">
        <is>
          <t>Saudi Arabia</t>
        </is>
      </c>
      <c r="C32" t="inlineStr">
        <is>
          <t>KSA</t>
        </is>
      </c>
      <c r="D32" t="inlineStr">
        <is>
          <t>Grupo H</t>
        </is>
      </c>
      <c r="E32" t="n">
        <v>20</v>
      </c>
      <c r="F32">
        <f>SUM(COUNTIFS(tblSelecoes[Abbr],C32,tblSelecoes[Status],"Sim"),COUNTIFS(tblSelecoes[Abbr],C32,tblSelecoes[Status],"Yes"))</f>
        <v/>
      </c>
      <c r="G32" s="26">
        <f>IF(E32&gt;0,F32/E32,0)</f>
        <v/>
      </c>
      <c r="H32">
        <f>REPT("█",MIN(14,MAX(0,ROUND(G32*14,0))))&amp;REPT("░",14-MIN(14,MAX(0,ROUND(G32*14,0))))</f>
        <v/>
      </c>
      <c r="I32">
        <f>E32-F32</f>
        <v/>
      </c>
    </row>
    <row r="33" ht="21" customHeight="1">
      <c r="A33" t="n">
        <v>32</v>
      </c>
      <c r="B33" t="inlineStr">
        <is>
          <t>Uruguay</t>
        </is>
      </c>
      <c r="C33" t="inlineStr">
        <is>
          <t>URU</t>
        </is>
      </c>
      <c r="D33" t="inlineStr">
        <is>
          <t>Grupo H</t>
        </is>
      </c>
      <c r="E33" t="n">
        <v>20</v>
      </c>
      <c r="F33">
        <f>SUM(COUNTIFS(tblSelecoes[Abbr],C33,tblSelecoes[Status],"Sim"),COUNTIFS(tblSelecoes[Abbr],C33,tblSelecoes[Status],"Yes"))</f>
        <v/>
      </c>
      <c r="G33" s="26">
        <f>IF(E33&gt;0,F33/E33,0)</f>
        <v/>
      </c>
      <c r="H33">
        <f>REPT("█",MIN(14,MAX(0,ROUND(G33*14,0))))&amp;REPT("░",14-MIN(14,MAX(0,ROUND(G33*14,0))))</f>
        <v/>
      </c>
      <c r="I33">
        <f>E33-F33</f>
        <v/>
      </c>
    </row>
    <row r="34" ht="21" customHeight="1">
      <c r="A34" t="n">
        <v>33</v>
      </c>
      <c r="B34" t="inlineStr">
        <is>
          <t>France</t>
        </is>
      </c>
      <c r="C34" t="inlineStr">
        <is>
          <t>FRA</t>
        </is>
      </c>
      <c r="D34" t="inlineStr">
        <is>
          <t>Grupo I</t>
        </is>
      </c>
      <c r="E34" t="n">
        <v>20</v>
      </c>
      <c r="F34">
        <f>SUM(COUNTIFS(tblSelecoes[Abbr],C34,tblSelecoes[Status],"Sim"),COUNTIFS(tblSelecoes[Abbr],C34,tblSelecoes[Status],"Yes"))</f>
        <v/>
      </c>
      <c r="G34" s="26">
        <f>IF(E34&gt;0,F34/E34,0)</f>
        <v/>
      </c>
      <c r="H34">
        <f>REPT("█",MIN(14,MAX(0,ROUND(G34*14,0))))&amp;REPT("░",14-MIN(14,MAX(0,ROUND(G34*14,0))))</f>
        <v/>
      </c>
      <c r="I34">
        <f>E34-F34</f>
        <v/>
      </c>
    </row>
    <row r="35" ht="21" customHeight="1">
      <c r="A35" t="n">
        <v>34</v>
      </c>
      <c r="B35" t="inlineStr">
        <is>
          <t>Senegal</t>
        </is>
      </c>
      <c r="C35" t="inlineStr">
        <is>
          <t>SEN</t>
        </is>
      </c>
      <c r="D35" t="inlineStr">
        <is>
          <t>Grupo I</t>
        </is>
      </c>
      <c r="E35" t="n">
        <v>20</v>
      </c>
      <c r="F35">
        <f>SUM(COUNTIFS(tblSelecoes[Abbr],C35,tblSelecoes[Status],"Sim"),COUNTIFS(tblSelecoes[Abbr],C35,tblSelecoes[Status],"Yes"))</f>
        <v/>
      </c>
      <c r="G35" s="26">
        <f>IF(E35&gt;0,F35/E35,0)</f>
        <v/>
      </c>
      <c r="H35">
        <f>REPT("█",MIN(14,MAX(0,ROUND(G35*14,0))))&amp;REPT("░",14-MIN(14,MAX(0,ROUND(G35*14,0))))</f>
        <v/>
      </c>
      <c r="I35">
        <f>E35-F35</f>
        <v/>
      </c>
    </row>
    <row r="36" ht="21" customHeight="1">
      <c r="A36" t="n">
        <v>35</v>
      </c>
      <c r="B36" t="inlineStr">
        <is>
          <t>Iraq</t>
        </is>
      </c>
      <c r="C36" t="inlineStr">
        <is>
          <t>IRQ</t>
        </is>
      </c>
      <c r="D36" t="inlineStr">
        <is>
          <t>Grupo I</t>
        </is>
      </c>
      <c r="E36" t="n">
        <v>20</v>
      </c>
      <c r="F36">
        <f>SUM(COUNTIFS(tblSelecoes[Abbr],C36,tblSelecoes[Status],"Sim"),COUNTIFS(tblSelecoes[Abbr],C36,tblSelecoes[Status],"Yes"))</f>
        <v/>
      </c>
      <c r="G36" s="26">
        <f>IF(E36&gt;0,F36/E36,0)</f>
        <v/>
      </c>
      <c r="H36">
        <f>REPT("█",MIN(14,MAX(0,ROUND(G36*14,0))))&amp;REPT("░",14-MIN(14,MAX(0,ROUND(G36*14,0))))</f>
        <v/>
      </c>
      <c r="I36">
        <f>E36-F36</f>
        <v/>
      </c>
    </row>
    <row r="37" ht="21" customHeight="1">
      <c r="A37" t="n">
        <v>36</v>
      </c>
      <c r="B37" t="inlineStr">
        <is>
          <t>Norway</t>
        </is>
      </c>
      <c r="C37" t="inlineStr">
        <is>
          <t>NOR</t>
        </is>
      </c>
      <c r="D37" t="inlineStr">
        <is>
          <t>Grupo I</t>
        </is>
      </c>
      <c r="E37" t="n">
        <v>20</v>
      </c>
      <c r="F37">
        <f>SUM(COUNTIFS(tblSelecoes[Abbr],C37,tblSelecoes[Status],"Sim"),COUNTIFS(tblSelecoes[Abbr],C37,tblSelecoes[Status],"Yes"))</f>
        <v/>
      </c>
      <c r="G37" s="26">
        <f>IF(E37&gt;0,F37/E37,0)</f>
        <v/>
      </c>
      <c r="H37">
        <f>REPT("█",MIN(14,MAX(0,ROUND(G37*14,0))))&amp;REPT("░",14-MIN(14,MAX(0,ROUND(G37*14,0))))</f>
        <v/>
      </c>
      <c r="I37">
        <f>E37-F37</f>
        <v/>
      </c>
    </row>
    <row r="38" ht="21" customHeight="1">
      <c r="A38" t="n">
        <v>37</v>
      </c>
      <c r="B38" t="inlineStr">
        <is>
          <t>Argentina</t>
        </is>
      </c>
      <c r="C38" t="inlineStr">
        <is>
          <t>ARG</t>
        </is>
      </c>
      <c r="D38" t="inlineStr">
        <is>
          <t>Grupo J</t>
        </is>
      </c>
      <c r="E38" t="n">
        <v>20</v>
      </c>
      <c r="F38">
        <f>SUM(COUNTIFS(tblSelecoes[Abbr],C38,tblSelecoes[Status],"Sim"),COUNTIFS(tblSelecoes[Abbr],C38,tblSelecoes[Status],"Yes"))</f>
        <v/>
      </c>
      <c r="G38" s="26">
        <f>IF(E38&gt;0,F38/E38,0)</f>
        <v/>
      </c>
      <c r="H38">
        <f>REPT("█",MIN(14,MAX(0,ROUND(G38*14,0))))&amp;REPT("░",14-MIN(14,MAX(0,ROUND(G38*14,0))))</f>
        <v/>
      </c>
      <c r="I38">
        <f>E38-F38</f>
        <v/>
      </c>
    </row>
    <row r="39" ht="21" customHeight="1">
      <c r="A39" t="n">
        <v>38</v>
      </c>
      <c r="B39" t="inlineStr">
        <is>
          <t>Algeria</t>
        </is>
      </c>
      <c r="C39" t="inlineStr">
        <is>
          <t>ALG</t>
        </is>
      </c>
      <c r="D39" t="inlineStr">
        <is>
          <t>Grupo J</t>
        </is>
      </c>
      <c r="E39" t="n">
        <v>20</v>
      </c>
      <c r="F39">
        <f>SUM(COUNTIFS(tblSelecoes[Abbr],C39,tblSelecoes[Status],"Sim"),COUNTIFS(tblSelecoes[Abbr],C39,tblSelecoes[Status],"Yes"))</f>
        <v/>
      </c>
      <c r="G39" s="26">
        <f>IF(E39&gt;0,F39/E39,0)</f>
        <v/>
      </c>
      <c r="H39">
        <f>REPT("█",MIN(14,MAX(0,ROUND(G39*14,0))))&amp;REPT("░",14-MIN(14,MAX(0,ROUND(G39*14,0))))</f>
        <v/>
      </c>
      <c r="I39">
        <f>E39-F39</f>
        <v/>
      </c>
    </row>
    <row r="40" ht="21" customHeight="1">
      <c r="A40" t="n">
        <v>39</v>
      </c>
      <c r="B40" t="inlineStr">
        <is>
          <t>Austria</t>
        </is>
      </c>
      <c r="C40" t="inlineStr">
        <is>
          <t>AUT</t>
        </is>
      </c>
      <c r="D40" t="inlineStr">
        <is>
          <t>Grupo J</t>
        </is>
      </c>
      <c r="E40" t="n">
        <v>20</v>
      </c>
      <c r="F40">
        <f>SUM(COUNTIFS(tblSelecoes[Abbr],C40,tblSelecoes[Status],"Sim"),COUNTIFS(tblSelecoes[Abbr],C40,tblSelecoes[Status],"Yes"))</f>
        <v/>
      </c>
      <c r="G40" s="26">
        <f>IF(E40&gt;0,F40/E40,0)</f>
        <v/>
      </c>
      <c r="H40">
        <f>REPT("█",MIN(14,MAX(0,ROUND(G40*14,0))))&amp;REPT("░",14-MIN(14,MAX(0,ROUND(G40*14,0))))</f>
        <v/>
      </c>
      <c r="I40">
        <f>E40-F40</f>
        <v/>
      </c>
    </row>
    <row r="41" ht="21" customHeight="1">
      <c r="A41" t="n">
        <v>40</v>
      </c>
      <c r="B41" t="inlineStr">
        <is>
          <t>Jordan</t>
        </is>
      </c>
      <c r="C41" t="inlineStr">
        <is>
          <t>JOR</t>
        </is>
      </c>
      <c r="D41" t="inlineStr">
        <is>
          <t>Grupo J</t>
        </is>
      </c>
      <c r="E41" t="n">
        <v>20</v>
      </c>
      <c r="F41">
        <f>SUM(COUNTIFS(tblSelecoes[Abbr],C41,tblSelecoes[Status],"Sim"),COUNTIFS(tblSelecoes[Abbr],C41,tblSelecoes[Status],"Yes"))</f>
        <v/>
      </c>
      <c r="G41" s="26">
        <f>IF(E41&gt;0,F41/E41,0)</f>
        <v/>
      </c>
      <c r="H41">
        <f>REPT("█",MIN(14,MAX(0,ROUND(G41*14,0))))&amp;REPT("░",14-MIN(14,MAX(0,ROUND(G41*14,0))))</f>
        <v/>
      </c>
      <c r="I41">
        <f>E41-F41</f>
        <v/>
      </c>
    </row>
    <row r="42" ht="21" customHeight="1">
      <c r="A42" t="n">
        <v>41</v>
      </c>
      <c r="B42" t="inlineStr">
        <is>
          <t>Portugal</t>
        </is>
      </c>
      <c r="C42" t="inlineStr">
        <is>
          <t>POR</t>
        </is>
      </c>
      <c r="D42" t="inlineStr">
        <is>
          <t>Grupo K</t>
        </is>
      </c>
      <c r="E42" t="n">
        <v>20</v>
      </c>
      <c r="F42">
        <f>SUM(COUNTIFS(tblSelecoes[Abbr],C42,tblSelecoes[Status],"Sim"),COUNTIFS(tblSelecoes[Abbr],C42,tblSelecoes[Status],"Yes"))</f>
        <v/>
      </c>
      <c r="G42" s="26">
        <f>IF(E42&gt;0,F42/E42,0)</f>
        <v/>
      </c>
      <c r="H42">
        <f>REPT("█",MIN(14,MAX(0,ROUND(G42*14,0))))&amp;REPT("░",14-MIN(14,MAX(0,ROUND(G42*14,0))))</f>
        <v/>
      </c>
      <c r="I42">
        <f>E42-F42</f>
        <v/>
      </c>
    </row>
    <row r="43" ht="21" customHeight="1">
      <c r="A43" t="n">
        <v>42</v>
      </c>
      <c r="B43" t="inlineStr">
        <is>
          <t>Congo DR</t>
        </is>
      </c>
      <c r="C43" t="inlineStr">
        <is>
          <t>COD</t>
        </is>
      </c>
      <c r="D43" t="inlineStr">
        <is>
          <t>Grupo K</t>
        </is>
      </c>
      <c r="E43" t="n">
        <v>20</v>
      </c>
      <c r="F43">
        <f>SUM(COUNTIFS(tblSelecoes[Abbr],C43,tblSelecoes[Status],"Sim"),COUNTIFS(tblSelecoes[Abbr],C43,tblSelecoes[Status],"Yes"))</f>
        <v/>
      </c>
      <c r="G43" s="26">
        <f>IF(E43&gt;0,F43/E43,0)</f>
        <v/>
      </c>
      <c r="H43">
        <f>REPT("█",MIN(14,MAX(0,ROUND(G43*14,0))))&amp;REPT("░",14-MIN(14,MAX(0,ROUND(G43*14,0))))</f>
        <v/>
      </c>
      <c r="I43">
        <f>E43-F43</f>
        <v/>
      </c>
    </row>
    <row r="44" ht="21" customHeight="1">
      <c r="A44" t="n">
        <v>43</v>
      </c>
      <c r="B44" t="inlineStr">
        <is>
          <t>Uzbekistan</t>
        </is>
      </c>
      <c r="C44" t="inlineStr">
        <is>
          <t>UZB</t>
        </is>
      </c>
      <c r="D44" t="inlineStr">
        <is>
          <t>Grupo K</t>
        </is>
      </c>
      <c r="E44" t="n">
        <v>20</v>
      </c>
      <c r="F44">
        <f>SUM(COUNTIFS(tblSelecoes[Abbr],C44,tblSelecoes[Status],"Sim"),COUNTIFS(tblSelecoes[Abbr],C44,tblSelecoes[Status],"Yes"))</f>
        <v/>
      </c>
      <c r="G44" s="26">
        <f>IF(E44&gt;0,F44/E44,0)</f>
        <v/>
      </c>
      <c r="H44">
        <f>REPT("█",MIN(14,MAX(0,ROUND(G44*14,0))))&amp;REPT("░",14-MIN(14,MAX(0,ROUND(G44*14,0))))</f>
        <v/>
      </c>
      <c r="I44">
        <f>E44-F44</f>
        <v/>
      </c>
    </row>
    <row r="45" ht="21" customHeight="1">
      <c r="A45" t="n">
        <v>44</v>
      </c>
      <c r="B45" t="inlineStr">
        <is>
          <t>Colombia</t>
        </is>
      </c>
      <c r="C45" t="inlineStr">
        <is>
          <t>COL</t>
        </is>
      </c>
      <c r="D45" t="inlineStr">
        <is>
          <t>Grupo K</t>
        </is>
      </c>
      <c r="E45" t="n">
        <v>20</v>
      </c>
      <c r="F45">
        <f>SUM(COUNTIFS(tblSelecoes[Abbr],C45,tblSelecoes[Status],"Sim"),COUNTIFS(tblSelecoes[Abbr],C45,tblSelecoes[Status],"Yes"))</f>
        <v/>
      </c>
      <c r="G45" s="26">
        <f>IF(E45&gt;0,F45/E45,0)</f>
        <v/>
      </c>
      <c r="H45">
        <f>REPT("█",MIN(14,MAX(0,ROUND(G45*14,0))))&amp;REPT("░",14-MIN(14,MAX(0,ROUND(G45*14,0))))</f>
        <v/>
      </c>
      <c r="I45">
        <f>E45-F45</f>
        <v/>
      </c>
    </row>
    <row r="46" ht="21" customHeight="1">
      <c r="A46" t="n">
        <v>45</v>
      </c>
      <c r="B46" t="inlineStr">
        <is>
          <t>England</t>
        </is>
      </c>
      <c r="C46" t="inlineStr">
        <is>
          <t>ENG</t>
        </is>
      </c>
      <c r="D46" t="inlineStr">
        <is>
          <t>Grupo L</t>
        </is>
      </c>
      <c r="E46" t="n">
        <v>20</v>
      </c>
      <c r="F46">
        <f>SUM(COUNTIFS(tblSelecoes[Abbr],C46,tblSelecoes[Status],"Sim"),COUNTIFS(tblSelecoes[Abbr],C46,tblSelecoes[Status],"Yes"))</f>
        <v/>
      </c>
      <c r="G46" s="26">
        <f>IF(E46&gt;0,F46/E46,0)</f>
        <v/>
      </c>
      <c r="H46">
        <f>REPT("█",MIN(14,MAX(0,ROUND(G46*14,0))))&amp;REPT("░",14-MIN(14,MAX(0,ROUND(G46*14,0))))</f>
        <v/>
      </c>
      <c r="I46">
        <f>E46-F46</f>
        <v/>
      </c>
    </row>
    <row r="47" ht="21" customHeight="1">
      <c r="A47" t="n">
        <v>46</v>
      </c>
      <c r="B47" t="inlineStr">
        <is>
          <t>Croatia</t>
        </is>
      </c>
      <c r="C47" t="inlineStr">
        <is>
          <t>CRO</t>
        </is>
      </c>
      <c r="D47" t="inlineStr">
        <is>
          <t>Grupo L</t>
        </is>
      </c>
      <c r="E47" t="n">
        <v>20</v>
      </c>
      <c r="F47">
        <f>SUM(COUNTIFS(tblSelecoes[Abbr],C47,tblSelecoes[Status],"Sim"),COUNTIFS(tblSelecoes[Abbr],C47,tblSelecoes[Status],"Yes"))</f>
        <v/>
      </c>
      <c r="G47" s="26">
        <f>IF(E47&gt;0,F47/E47,0)</f>
        <v/>
      </c>
      <c r="H47">
        <f>REPT("█",MIN(14,MAX(0,ROUND(G47*14,0))))&amp;REPT("░",14-MIN(14,MAX(0,ROUND(G47*14,0))))</f>
        <v/>
      </c>
      <c r="I47">
        <f>E47-F47</f>
        <v/>
      </c>
    </row>
    <row r="48" ht="21" customHeight="1">
      <c r="A48" t="n">
        <v>47</v>
      </c>
      <c r="B48" t="inlineStr">
        <is>
          <t>Ghana</t>
        </is>
      </c>
      <c r="C48" t="inlineStr">
        <is>
          <t>GHA</t>
        </is>
      </c>
      <c r="D48" t="inlineStr">
        <is>
          <t>Grupo L</t>
        </is>
      </c>
      <c r="E48" t="n">
        <v>20</v>
      </c>
      <c r="F48">
        <f>SUM(COUNTIFS(tblSelecoes[Abbr],C48,tblSelecoes[Status],"Sim"),COUNTIFS(tblSelecoes[Abbr],C48,tblSelecoes[Status],"Yes"))</f>
        <v/>
      </c>
      <c r="G48" s="26">
        <f>IF(E48&gt;0,F48/E48,0)</f>
        <v/>
      </c>
      <c r="H48">
        <f>REPT("█",MIN(14,MAX(0,ROUND(G48*14,0))))&amp;REPT("░",14-MIN(14,MAX(0,ROUND(G48*14,0))))</f>
        <v/>
      </c>
      <c r="I48">
        <f>E48-F48</f>
        <v/>
      </c>
    </row>
    <row r="49" ht="21" customHeight="1">
      <c r="A49" t="n">
        <v>48</v>
      </c>
      <c r="B49" t="inlineStr">
        <is>
          <t>Panama</t>
        </is>
      </c>
      <c r="C49" t="inlineStr">
        <is>
          <t>PAN</t>
        </is>
      </c>
      <c r="D49" t="inlineStr">
        <is>
          <t>Grupo L</t>
        </is>
      </c>
      <c r="E49" t="n">
        <v>20</v>
      </c>
      <c r="F49">
        <f>SUM(COUNTIFS(tblSelecoes[Abbr],C49,tblSelecoes[Status],"Sim"),COUNTIFS(tblSelecoes[Abbr],C49,tblSelecoes[Status],"Yes"))</f>
        <v/>
      </c>
      <c r="G49" s="26">
        <f>IF(E49&gt;0,F49/E49,0)</f>
        <v/>
      </c>
      <c r="H49">
        <f>REPT("█",MIN(14,MAX(0,ROUND(G49*14,0))))&amp;REPT("░",14-MIN(14,MAX(0,ROUND(G49*14,0))))</f>
        <v/>
      </c>
      <c r="I49">
        <f>E49-F49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855F7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25" t="inlineStr">
        <is>
          <t>Date</t>
        </is>
      </c>
      <c r="B1" s="25" t="inlineStr">
        <is>
          <t>PacksOpen</t>
        </is>
      </c>
      <c r="C1" s="25" t="inlineStr">
        <is>
          <t>NewEst</t>
        </is>
      </c>
      <c r="D1" s="25" t="inlineStr">
        <is>
          <t>Notes</t>
        </is>
      </c>
    </row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34D399"/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2" customWidth="1" min="4" max="4"/>
    <col width="48" customWidth="1" min="5" max="5"/>
    <col width="48" customWidth="1" min="6" max="6"/>
    <col width="27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7">
        <f>CHOOSE(MATCH(Config!$B$2,{"PT";"EN"},0),"Panini WC 2026 · Motor","Panini WC 2026 · Analytics")</f>
        <v/>
      </c>
    </row>
    <row r="2"/>
    <row r="3">
      <c r="A3" s="28">
        <f>CHOOSE(MATCH(Config!$B$2,{"PT";"EN"},0),"Secção","Section")</f>
        <v/>
      </c>
      <c r="B3" s="28">
        <f>CHOOSE(MATCH(Config!$B$2,{"PT";"EN"},0),"Meta","Goal")</f>
        <v/>
      </c>
      <c r="C3" s="28">
        <f>CHOOSE(MATCH(Config!$B$2,{"PT";"EN"},0),"Com OK","Got")</f>
        <v/>
      </c>
      <c r="D3" s="28" t="inlineStr">
        <is>
          <t>%</t>
        </is>
      </c>
      <c r="E3" s="28">
        <f>CHOOSE(MATCH(Config!$B$2,{"PT";"EN"},0),"Faltam","Missing")</f>
        <v/>
      </c>
    </row>
    <row r="4">
      <c r="A4">
        <f>CHOOSE(MATCH(Config!$B$2,{"PT";"EN"},0),"Página inicial","Intro")</f>
        <v/>
      </c>
      <c r="B4" t="n">
        <v>9</v>
      </c>
      <c r="C4">
        <f>COUNTIF(tblPaginaInicial[Status],"Sim")+COUNTIF(tblPaginaInicial[Status],"Yes")</f>
        <v/>
      </c>
      <c r="D4" s="29">
        <f>IF(B4&gt;0,C4/B4,0)</f>
        <v/>
      </c>
      <c r="E4">
        <f>B4-C4</f>
        <v/>
      </c>
    </row>
    <row r="5">
      <c r="A5">
        <f>CHOOSE(MATCH(Config!$B$2,{"PT";"EN"},0),"Seleções","Teams")</f>
        <v/>
      </c>
      <c r="B5" t="n">
        <v>960</v>
      </c>
      <c r="C5">
        <f>COUNTIF(tblSelecoes[Status],"Sim")+COUNTIF(tblSelecoes[Status],"Yes")</f>
        <v/>
      </c>
      <c r="D5" s="29">
        <f>IF(B5&gt;0,C5/B5,0)</f>
        <v/>
      </c>
      <c r="E5">
        <f>B5-C5</f>
        <v/>
      </c>
    </row>
    <row r="6">
      <c r="A6">
        <f>CHOOSE(MATCH(Config!$B$2,{"PT";"EN"},0),"Museu FIFA","Museum")</f>
        <v/>
      </c>
      <c r="B6" t="n">
        <v>11</v>
      </c>
      <c r="C6">
        <f>COUNTIF(tblMuseu[Status],"Sim")+COUNTIF(tblMuseu[Status],"Yes")</f>
        <v/>
      </c>
      <c r="D6" s="29">
        <f>IF(B6&gt;0,C6/B6,0)</f>
        <v/>
      </c>
      <c r="E6">
        <f>B6-C6</f>
        <v/>
      </c>
    </row>
    <row r="7">
      <c r="A7" s="30">
        <f>CHOOSE(MATCH(Config!$B$2,{"PT";"EN"},0),"ÁLBUM BASE","BASE ALBUM")</f>
        <v/>
      </c>
      <c r="B7" t="n">
        <v>980</v>
      </c>
      <c r="C7">
        <f>COUNTIF(tblPaginaInicial[Status],"Sim")+COUNTIF(tblPaginaInicial[Status],"Yes")+COUNTIF(tblSelecoes[Status],"Sim")+COUNTIF(tblSelecoes[Status],"Yes")+COUNTIF(tblMuseu[Status],"Sim")+COUNTIF(tblMuseu[Status],"Yes")</f>
        <v/>
      </c>
      <c r="D7" s="31">
        <f>IF(B7&gt;0,C7/B7,0)</f>
        <v/>
      </c>
      <c r="E7">
        <f>B7-C7</f>
        <v/>
      </c>
    </row>
    <row r="8"/>
    <row r="9">
      <c r="A9" s="32">
        <f>CHOOSE(MATCH(Config!$B$2,{"PT";"EN"},0),"Promos &amp; extras","Promos &amp; extras")</f>
        <v/>
      </c>
    </row>
    <row r="10">
      <c r="A10" s="30">
        <f>CHOOSE(MATCH(Config!$B$2,{"PT";"EN"},0),"Item","Item")</f>
        <v/>
      </c>
      <c r="B10" s="30">
        <f>CHOOSE(MATCH(Config!$B$2,{"PT";"EN"},0),"Meta","Goal")</f>
        <v/>
      </c>
      <c r="C10" s="30">
        <f>CHOOSE(MATCH(Config!$B$2,{"PT";"EN"},0),"Com OK","Got")</f>
        <v/>
      </c>
      <c r="D10" s="30" t="inlineStr">
        <is>
          <t>%</t>
        </is>
      </c>
    </row>
    <row r="11">
      <c r="A11" t="inlineStr">
        <is>
          <t>Coca-Cola</t>
        </is>
      </c>
      <c r="B11" t="n">
        <v>12</v>
      </c>
      <c r="C11">
        <f>COUNTIF(tblCocaCola[Status],"Sim")+COUNTIF(tblCocaCola[Status],"Yes")</f>
        <v/>
      </c>
      <c r="D11" s="26">
        <f>IF(B11&gt;0,C11/B11,0)</f>
        <v/>
      </c>
    </row>
    <row r="12">
      <c r="A12">
        <f>CHOOSE(MATCH(Config!$B$2,{"PT";"EN"},0),"Extras intl.","Intl. extras")</f>
        <v/>
      </c>
      <c r="B12" t="n">
        <v>20</v>
      </c>
      <c r="C12">
        <f>COUNTIF(tblExtras[Status],"Sim")+COUNTIF(tblExtras[Status],"Yes")</f>
        <v/>
      </c>
      <c r="D12" s="26">
        <f>IF(B12&gt;0,C12/B12,0)</f>
        <v/>
      </c>
    </row>
    <row r="13"/>
    <row r="14"/>
    <row r="15">
      <c r="A15" s="30">
        <f>CHOOSE(MATCH(Config!$B$2,{"PT";"EN"},0),"FOIL vs Base","FOIL vs Base")</f>
        <v/>
      </c>
    </row>
    <row r="16">
      <c r="A16" t="inlineStr">
        <is>
          <t>FOIL</t>
        </is>
      </c>
      <c r="B16">
        <f>SUMPRODUCT((tblPaginaInicial[Type]="FOIL")*((tblPaginaInicial[Status]="Sim")+(tblPaginaInicial[Status]="Yes")))+SUMPRODUCT((tblSelecoes[Type]="FOIL")*((tblSelecoes[Status]="Sim")+(tblSelecoes[Status]="Yes")))+SUMPRODUCT((tblMuseu[Type]="FOIL")*((tblMuseu[Status]="Sim")+(tblMuseu[Status]="Yes")))</f>
        <v/>
      </c>
    </row>
    <row r="17">
      <c r="A17" t="inlineStr">
        <is>
          <t>Base</t>
        </is>
      </c>
      <c r="B17">
        <f>SUMPRODUCT((tblPaginaInicial[Type]="Base")*((tblPaginaInicial[Status]="Sim")+(tblPaginaInicial[Status]="Yes")))+SUMPRODUCT((tblSelecoes[Type]="Base")*((tblSelecoes[Status]="Sim")+(tblSelecoes[Status]="Yes")))+SUMPRODUCT((tblMuseu[Type]="Base")*((tblMuseu[Status]="Sim")+(tblMuseu[Status]="Yes")))</f>
        <v/>
      </c>
    </row>
    <row r="18"/>
    <row r="19"/>
    <row r="20">
      <c r="A20" s="30">
        <f>CHOOSE(MATCH(Config!$B$2,{"PT";"EN"},0),"Por grupo","By group")</f>
        <v/>
      </c>
    </row>
    <row r="21">
      <c r="A21" s="33" t="inlineStr">
        <is>
          <t>Group</t>
        </is>
      </c>
      <c r="B21" s="33" t="inlineStr">
        <is>
          <t>Goal</t>
        </is>
      </c>
      <c r="C21" s="33" t="inlineStr">
        <is>
          <t>Got</t>
        </is>
      </c>
      <c r="D21" s="33" t="inlineStr">
        <is>
          <t>Pct</t>
        </is>
      </c>
      <c r="E21" s="33" t="inlineStr">
        <is>
          <t>Missing</t>
        </is>
      </c>
      <c r="F21" s="33" t="inlineStr">
        <is>
          <t>Bar</t>
        </is>
      </c>
      <c r="G21" s="33" t="inlineStr">
        <is>
          <t>Rank</t>
        </is>
      </c>
    </row>
    <row r="22">
      <c r="A22" t="inlineStr">
        <is>
          <t>Grupo A</t>
        </is>
      </c>
      <c r="B22" t="n">
        <v>80</v>
      </c>
      <c r="C22">
        <f>SUM(COUNTIFS(tblSelecoes[Status],"Sim",tblSelecoes[Group],"Grupo A"),COUNTIFS(tblSelecoes[Status],"Yes",tblSelecoes[Group],"Grupo A"))</f>
        <v/>
      </c>
      <c r="D22" s="26">
        <f>IF(B22&gt;0,C22/B22,0)</f>
        <v/>
      </c>
      <c r="E22">
        <f>B22-C22</f>
        <v/>
      </c>
      <c r="F22">
        <f>REPT("█",ROUND(D22*12,0))&amp;REPT("·",12-ROUND(D22*12,0))</f>
        <v/>
      </c>
      <c r="G22">
        <f>RANK.EQ(D22,D$22:D$33,0)</f>
        <v/>
      </c>
    </row>
    <row r="23">
      <c r="A23" t="inlineStr">
        <is>
          <t>Grupo B</t>
        </is>
      </c>
      <c r="B23" t="n">
        <v>80</v>
      </c>
      <c r="C23">
        <f>SUM(COUNTIFS(tblSelecoes[Status],"Sim",tblSelecoes[Group],"Grupo B"),COUNTIFS(tblSelecoes[Status],"Yes",tblSelecoes[Group],"Grupo B"))</f>
        <v/>
      </c>
      <c r="D23" s="26">
        <f>IF(B23&gt;0,C23/B23,0)</f>
        <v/>
      </c>
      <c r="E23">
        <f>B23-C23</f>
        <v/>
      </c>
      <c r="F23">
        <f>REPT("█",ROUND(D23*12,0))&amp;REPT("·",12-ROUND(D23*12,0))</f>
        <v/>
      </c>
      <c r="G23">
        <f>RANK.EQ(D23,D$22:D$33,0)</f>
        <v/>
      </c>
    </row>
    <row r="24">
      <c r="A24" t="inlineStr">
        <is>
          <t>Grupo C</t>
        </is>
      </c>
      <c r="B24" t="n">
        <v>80</v>
      </c>
      <c r="C24">
        <f>SUM(COUNTIFS(tblSelecoes[Status],"Sim",tblSelecoes[Group],"Grupo C"),COUNTIFS(tblSelecoes[Status],"Yes",tblSelecoes[Group],"Grupo C"))</f>
        <v/>
      </c>
      <c r="D24" s="26">
        <f>IF(B24&gt;0,C24/B24,0)</f>
        <v/>
      </c>
      <c r="E24">
        <f>B24-C24</f>
        <v/>
      </c>
      <c r="F24">
        <f>REPT("█",ROUND(D24*12,0))&amp;REPT("·",12-ROUND(D24*12,0))</f>
        <v/>
      </c>
      <c r="G24">
        <f>RANK.EQ(D24,D$22:D$33,0)</f>
        <v/>
      </c>
    </row>
    <row r="25">
      <c r="A25" t="inlineStr">
        <is>
          <t>Grupo D</t>
        </is>
      </c>
      <c r="B25" t="n">
        <v>80</v>
      </c>
      <c r="C25">
        <f>SUM(COUNTIFS(tblSelecoes[Status],"Sim",tblSelecoes[Group],"Grupo D"),COUNTIFS(tblSelecoes[Status],"Yes",tblSelecoes[Group],"Grupo D"))</f>
        <v/>
      </c>
      <c r="D25" s="26">
        <f>IF(B25&gt;0,C25/B25,0)</f>
        <v/>
      </c>
      <c r="E25">
        <f>B25-C25</f>
        <v/>
      </c>
      <c r="F25">
        <f>REPT("█",ROUND(D25*12,0))&amp;REPT("·",12-ROUND(D25*12,0))</f>
        <v/>
      </c>
      <c r="G25">
        <f>RANK.EQ(D25,D$22:D$33,0)</f>
        <v/>
      </c>
    </row>
    <row r="26">
      <c r="A26" t="inlineStr">
        <is>
          <t>Grupo E</t>
        </is>
      </c>
      <c r="B26" t="n">
        <v>80</v>
      </c>
      <c r="C26">
        <f>SUM(COUNTIFS(tblSelecoes[Status],"Sim",tblSelecoes[Group],"Grupo E"),COUNTIFS(tblSelecoes[Status],"Yes",tblSelecoes[Group],"Grupo E"))</f>
        <v/>
      </c>
      <c r="D26" s="26">
        <f>IF(B26&gt;0,C26/B26,0)</f>
        <v/>
      </c>
      <c r="E26">
        <f>B26-C26</f>
        <v/>
      </c>
      <c r="F26">
        <f>REPT("█",ROUND(D26*12,0))&amp;REPT("·",12-ROUND(D26*12,0))</f>
        <v/>
      </c>
      <c r="G26">
        <f>RANK.EQ(D26,D$22:D$33,0)</f>
        <v/>
      </c>
    </row>
    <row r="27">
      <c r="A27" t="inlineStr">
        <is>
          <t>Grupo F</t>
        </is>
      </c>
      <c r="B27" t="n">
        <v>80</v>
      </c>
      <c r="C27">
        <f>SUM(COUNTIFS(tblSelecoes[Status],"Sim",tblSelecoes[Group],"Grupo F"),COUNTIFS(tblSelecoes[Status],"Yes",tblSelecoes[Group],"Grupo F"))</f>
        <v/>
      </c>
      <c r="D27" s="26">
        <f>IF(B27&gt;0,C27/B27,0)</f>
        <v/>
      </c>
      <c r="E27">
        <f>B27-C27</f>
        <v/>
      </c>
      <c r="F27">
        <f>REPT("█",ROUND(D27*12,0))&amp;REPT("·",12-ROUND(D27*12,0))</f>
        <v/>
      </c>
      <c r="G27">
        <f>RANK.EQ(D27,D$22:D$33,0)</f>
        <v/>
      </c>
    </row>
    <row r="28">
      <c r="A28" t="inlineStr">
        <is>
          <t>Grupo G</t>
        </is>
      </c>
      <c r="B28" t="n">
        <v>80</v>
      </c>
      <c r="C28">
        <f>SUM(COUNTIFS(tblSelecoes[Status],"Sim",tblSelecoes[Group],"Grupo G"),COUNTIFS(tblSelecoes[Status],"Yes",tblSelecoes[Group],"Grupo G"))</f>
        <v/>
      </c>
      <c r="D28" s="26">
        <f>IF(B28&gt;0,C28/B28,0)</f>
        <v/>
      </c>
      <c r="E28">
        <f>B28-C28</f>
        <v/>
      </c>
      <c r="F28">
        <f>REPT("█",ROUND(D28*12,0))&amp;REPT("·",12-ROUND(D28*12,0))</f>
        <v/>
      </c>
      <c r="G28">
        <f>RANK.EQ(D28,D$22:D$33,0)</f>
        <v/>
      </c>
    </row>
    <row r="29">
      <c r="A29" t="inlineStr">
        <is>
          <t>Grupo H</t>
        </is>
      </c>
      <c r="B29" t="n">
        <v>80</v>
      </c>
      <c r="C29">
        <f>SUM(COUNTIFS(tblSelecoes[Status],"Sim",tblSelecoes[Group],"Grupo H"),COUNTIFS(tblSelecoes[Status],"Yes",tblSelecoes[Group],"Grupo H"))</f>
        <v/>
      </c>
      <c r="D29" s="26">
        <f>IF(B29&gt;0,C29/B29,0)</f>
        <v/>
      </c>
      <c r="E29">
        <f>B29-C29</f>
        <v/>
      </c>
      <c r="F29">
        <f>REPT("█",ROUND(D29*12,0))&amp;REPT("·",12-ROUND(D29*12,0))</f>
        <v/>
      </c>
      <c r="G29">
        <f>RANK.EQ(D29,D$22:D$33,0)</f>
        <v/>
      </c>
    </row>
    <row r="30">
      <c r="A30" t="inlineStr">
        <is>
          <t>Grupo I</t>
        </is>
      </c>
      <c r="B30" t="n">
        <v>80</v>
      </c>
      <c r="C30">
        <f>SUM(COUNTIFS(tblSelecoes[Status],"Sim",tblSelecoes[Group],"Grupo I"),COUNTIFS(tblSelecoes[Status],"Yes",tblSelecoes[Group],"Grupo I"))</f>
        <v/>
      </c>
      <c r="D30" s="26">
        <f>IF(B30&gt;0,C30/B30,0)</f>
        <v/>
      </c>
      <c r="E30">
        <f>B30-C30</f>
        <v/>
      </c>
      <c r="F30">
        <f>REPT("█",ROUND(D30*12,0))&amp;REPT("·",12-ROUND(D30*12,0))</f>
        <v/>
      </c>
      <c r="G30">
        <f>RANK.EQ(D30,D$22:D$33,0)</f>
        <v/>
      </c>
    </row>
    <row r="31">
      <c r="A31" t="inlineStr">
        <is>
          <t>Grupo J</t>
        </is>
      </c>
      <c r="B31" t="n">
        <v>80</v>
      </c>
      <c r="C31">
        <f>SUM(COUNTIFS(tblSelecoes[Status],"Sim",tblSelecoes[Group],"Grupo J"),COUNTIFS(tblSelecoes[Status],"Yes",tblSelecoes[Group],"Grupo J"))</f>
        <v/>
      </c>
      <c r="D31" s="26">
        <f>IF(B31&gt;0,C31/B31,0)</f>
        <v/>
      </c>
      <c r="E31">
        <f>B31-C31</f>
        <v/>
      </c>
      <c r="F31">
        <f>REPT("█",ROUND(D31*12,0))&amp;REPT("·",12-ROUND(D31*12,0))</f>
        <v/>
      </c>
      <c r="G31">
        <f>RANK.EQ(D31,D$22:D$33,0)</f>
        <v/>
      </c>
    </row>
    <row r="32">
      <c r="A32" t="inlineStr">
        <is>
          <t>Grupo K</t>
        </is>
      </c>
      <c r="B32" t="n">
        <v>80</v>
      </c>
      <c r="C32">
        <f>SUM(COUNTIFS(tblSelecoes[Status],"Sim",tblSelecoes[Group],"Grupo K"),COUNTIFS(tblSelecoes[Status],"Yes",tblSelecoes[Group],"Grupo K"))</f>
        <v/>
      </c>
      <c r="D32" s="26">
        <f>IF(B32&gt;0,C32/B32,0)</f>
        <v/>
      </c>
      <c r="E32">
        <f>B32-C32</f>
        <v/>
      </c>
      <c r="F32">
        <f>REPT("█",ROUND(D32*12,0))&amp;REPT("·",12-ROUND(D32*12,0))</f>
        <v/>
      </c>
      <c r="G32">
        <f>RANK.EQ(D32,D$22:D$33,0)</f>
        <v/>
      </c>
    </row>
    <row r="33">
      <c r="A33" t="inlineStr">
        <is>
          <t>Grupo L</t>
        </is>
      </c>
      <c r="B33" t="n">
        <v>80</v>
      </c>
      <c r="C33">
        <f>SUM(COUNTIFS(tblSelecoes[Status],"Sim",tblSelecoes[Group],"Grupo L"),COUNTIFS(tblSelecoes[Status],"Yes",tblSelecoes[Group],"Grupo L"))</f>
        <v/>
      </c>
      <c r="D33" s="26">
        <f>IF(B33&gt;0,C33/B33,0)</f>
        <v/>
      </c>
      <c r="E33">
        <f>B33-C33</f>
        <v/>
      </c>
      <c r="F33">
        <f>REPT("█",ROUND(D33*12,0))&amp;REPT("·",12-ROUND(D33*12,0))</f>
        <v/>
      </c>
      <c r="G33">
        <f>RANK.EQ(D33,D$22:D$33,0)</f>
        <v/>
      </c>
    </row>
    <row r="34"/>
    <row r="35"/>
    <row r="36">
      <c r="A36" s="30">
        <f>CHOOSE(MATCH(Config!$B$2,{"PT";"EN"},0),"Soma dup.","Dup sum")</f>
        <v/>
      </c>
      <c r="B36">
        <f>SUM(tblPaginaInicial[Dup])+SUM(tblSelecoes[Dup])+SUM(tblMuseu[Dup])+SUM(tblCocaCola[Dup])+SUM(tblExtras[Dup])</f>
        <v/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2026-05-10T11:58:32Z</dcterms:created>
  <dcterms:modified xsi:type="dcterms:W3CDTF">2026-05-10T11:58:33Z</dcterms:modified>
</cp:coreProperties>
</file>